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arten review" sheetId="1" state="visible" r:id="rId1"/>
    <sheet xmlns:r="http://schemas.openxmlformats.org/officeDocument/2006/relationships" name="Samenvatt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D4B878"/>
      <sz val="11"/>
    </font>
    <font>
      <name val="Calibri"/>
      <sz val="10"/>
    </font>
    <font>
      <name val="Calibri"/>
      <b val="1"/>
      <color rgb="000A0A0C"/>
      <sz val="14"/>
    </font>
    <font>
      <name val="Calibri"/>
      <b val="1"/>
      <sz val="11"/>
    </font>
    <font>
      <name val="Calibri"/>
      <sz val="11"/>
    </font>
  </fonts>
  <fills count="6">
    <fill>
      <patternFill/>
    </fill>
    <fill>
      <patternFill patternType="gray125"/>
    </fill>
    <fill>
      <patternFill patternType="solid">
        <fgColor rgb="000A0A0C"/>
      </patternFill>
    </fill>
    <fill>
      <patternFill patternType="solid">
        <fgColor rgb="00F5EBDE"/>
      </patternFill>
    </fill>
    <fill>
      <patternFill patternType="solid">
        <fgColor rgb="00DBE7F2"/>
      </patternFill>
    </fill>
    <fill>
      <patternFill patternType="solid">
        <fgColor rgb="00DDEDD8"/>
      </patternFill>
    </fill>
  </fills>
  <borders count="2">
    <border>
      <left/>
      <right/>
      <top/>
      <bottom/>
      <diagonal/>
    </border>
    <border>
      <left style="thin">
        <color rgb="00D4D4D8"/>
      </left>
      <right style="thin">
        <color rgb="00D4D4D8"/>
      </right>
      <top style="thin">
        <color rgb="00D4D4D8"/>
      </top>
      <bottom style="thin">
        <color rgb="00D4D4D8"/>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horizontal="left"/>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14" customWidth="1" min="4" max="4"/>
    <col width="44" customWidth="1" min="5" max="5"/>
    <col width="44" customWidth="1" min="6" max="6"/>
    <col width="60" customWidth="1" min="7" max="7"/>
    <col width="40" customWidth="1" min="8" max="8"/>
    <col width="22" customWidth="1" min="9" max="9"/>
    <col width="14" customWidth="1" min="10" max="10"/>
    <col width="32" customWidth="1" min="11" max="11"/>
  </cols>
  <sheetData>
    <row r="1">
      <c r="A1" s="1" t="inlineStr">
        <is>
          <t>ID</t>
        </is>
      </c>
      <c r="B1" s="1" t="inlineStr">
        <is>
          <t>Module</t>
        </is>
      </c>
      <c r="C1" s="1" t="inlineStr">
        <is>
          <t>Bron</t>
        </is>
      </c>
      <c r="D1" s="1" t="inlineStr">
        <is>
          <t>Type</t>
        </is>
      </c>
      <c r="E1" s="1" t="inlineStr">
        <is>
          <t>Vraag</t>
        </is>
      </c>
      <c r="F1" s="1" t="inlineStr">
        <is>
          <t>Antwoord</t>
        </is>
      </c>
      <c r="G1" s="1" t="inlineStr">
        <is>
          <t>Citaat</t>
        </is>
      </c>
      <c r="H1" s="1" t="inlineStr">
        <is>
          <t>Context</t>
        </is>
      </c>
      <c r="I1" s="1" t="inlineStr">
        <is>
          <t>Vindplaats</t>
        </is>
      </c>
      <c r="J1" s="1" t="inlineStr">
        <is>
          <t>Oordeel</t>
        </is>
      </c>
      <c r="K1" s="1" t="inlineStr">
        <is>
          <t>Opmerking</t>
        </is>
      </c>
    </row>
    <row r="2" ht="96" customHeight="1">
      <c r="A2" s="2" t="inlineStr">
        <is>
          <t>card_001</t>
        </is>
      </c>
      <c r="B2" s="2" t="inlineStr">
        <is>
          <t>01</t>
        </is>
      </c>
      <c r="C2" s="2" t="inlineStr">
        <is>
          <t>Groningenveld (HR 19 juli 2019)</t>
        </is>
      </c>
      <c r="D2" s="2" t="inlineStr">
        <is>
          <t>arrest</t>
        </is>
      </c>
      <c r="E2" s="2" t="inlineStr">
        <is>
          <t>Kan een benadeelde zijn vordering uit hoofde van mijnbouwschade óók op art. 6:162 BW baseren, terwijl er een risicoaansprakelijkheid op grond van art. 6:177 BW beschikbaar is?</t>
        </is>
      </c>
      <c r="F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G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H2" s="2" t="inlineStr">
        <is>
          <t>Kern van het Groningenveld-arrest: samenloop tussen risico- en schuldaansprakelijkheid bij aardbevingsschade door gaswinning.</t>
        </is>
      </c>
      <c r="I2" s="2" t="inlineStr">
        <is>
          <t>HR 19 juli 2019, ECLI:NL:HR:2019:1278, NJ 2020/391 (Groningenveld)</t>
        </is>
      </c>
      <c r="J2" s="2" t="inlineStr"/>
      <c r="K2" s="2" t="inlineStr"/>
    </row>
    <row r="3" ht="96" customHeight="1">
      <c r="A3" s="2" t="inlineStr">
        <is>
          <t>card_002</t>
        </is>
      </c>
      <c r="B3" s="2" t="inlineStr">
        <is>
          <t>01</t>
        </is>
      </c>
      <c r="C3" s="2" t="inlineStr">
        <is>
          <t>Groningenveld (HR 19 juli 2019)</t>
        </is>
      </c>
      <c r="D3" s="2" t="inlineStr">
        <is>
          <t>arrest</t>
        </is>
      </c>
      <c r="E3" s="2" t="inlineStr">
        <is>
          <t>Moet EBN B.V. naast NAM worden aangemerkt als exploitant in de zin van art. 6:177 lid 2 BW?</t>
        </is>
      </c>
      <c r="F3" s="2" t="inlineStr">
        <is>
          <t>Ja. EBN, waarvan de Staat enig aandeelhouder is, moet naast NAM als exploitant in de zin van art. 6:177 lid 2 BW worden aangemerkt omdat EBN via de Maatschap Groningen het economische belang bij de gaswinning deelt.</t>
        </is>
      </c>
      <c r="G3" s="2" t="inlineStr">
        <is>
          <t>EBN, waarvan de Staat enig aandeelhouder is, moet in het onderhavige geval — naast NAM — als exploitant in de zin van art. 6:177 lid 2 BW worden aangemerkt.</t>
        </is>
      </c>
      <c r="H3" s="2" t="inlineStr">
        <is>
          <t>Uitbreiding van het exploitantbegrip: ook de medebelanghebbende via een maatschapsconstructie valt eronder.</t>
        </is>
      </c>
      <c r="I3" s="2" t="inlineStr">
        <is>
          <t>HR 19 juli 2019, ECLI:NL:HR:2019:1278, NJ 2020/391 (Groningenveld)</t>
        </is>
      </c>
      <c r="J3" s="2" t="inlineStr"/>
      <c r="K3" s="2" t="inlineStr"/>
    </row>
    <row r="4" ht="96" customHeight="1">
      <c r="A4" s="2" t="inlineStr">
        <is>
          <t>card_003</t>
        </is>
      </c>
      <c r="B4" s="2" t="inlineStr">
        <is>
          <t>01</t>
        </is>
      </c>
      <c r="C4" s="2" t="inlineStr">
        <is>
          <t>Groningenveld (HR 19 juli 2019)</t>
        </is>
      </c>
      <c r="D4" s="2" t="inlineStr">
        <is>
          <t>arrest</t>
        </is>
      </c>
      <c r="E4" s="2" t="inlineStr">
        <is>
          <t>Hoe kan de exploitant het bewijsvermoeden van art. 6:177a lid 1 BW met succes weerleggen?</t>
        </is>
      </c>
      <c r="F4" s="2" t="inlineStr">
        <is>
          <t>De exploitant weerlegt het vermoeden alleen dan met succes als hij erin slaagt te bewijzen — waaronder is begrepen voldoende aannemelijk te maken — dat de schade niet is veroorzaakt door de aanleg of de exploitatie van het mijnbouwwerk.</t>
        </is>
      </c>
      <c r="G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H4" s="2" t="inlineStr">
        <is>
          <t>Invulling van de bewijslastverdeling: aannemelijk maken volstaat, maar de bewijslast blijft bij de exploitant.</t>
        </is>
      </c>
      <c r="I4" s="2" t="inlineStr">
        <is>
          <t>HR 19 juli 2019, ECLI:NL:HR:2019:1278, NJ 2020/391 (Groningenveld)</t>
        </is>
      </c>
      <c r="J4" s="2" t="inlineStr"/>
      <c r="K4" s="2" t="inlineStr"/>
    </row>
    <row r="5" ht="96" customHeight="1">
      <c r="A5" s="2" t="inlineStr">
        <is>
          <t>card_004</t>
        </is>
      </c>
      <c r="B5" s="2" t="inlineStr">
        <is>
          <t>01</t>
        </is>
      </c>
      <c r="C5" s="2" t="inlineStr">
        <is>
          <t>Groningenveld (HR 19 juli 2019)</t>
        </is>
      </c>
      <c r="D5" s="2" t="inlineStr">
        <is>
          <t>arrest</t>
        </is>
      </c>
      <c r="E5" s="2" t="inlineStr">
        <is>
          <t>Hoe werkt de persoonlijke predispositie van de benadeelde door in de schadevergoeding bij aansprakelijkheid op grond van art. 6:177 BW?</t>
        </is>
      </c>
      <c r="F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G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H5" s="2" t="inlineStr">
        <is>
          <t>Ruime toerekening: de benadeelde wordt 'genomen zoals hij is' — eggshell-skull-regel ook onder 6:177 BW.</t>
        </is>
      </c>
      <c r="I5" s="2" t="inlineStr">
        <is>
          <t>HR 19 juli 2019, ECLI:NL:HR:2019:1278, NJ 2020/391 (Groningenveld)</t>
        </is>
      </c>
      <c r="J5" s="2" t="inlineStr"/>
      <c r="K5" s="2" t="inlineStr"/>
    </row>
    <row r="6" ht="96" customHeight="1">
      <c r="A6" s="2" t="inlineStr">
        <is>
          <t>card_005</t>
        </is>
      </c>
      <c r="B6" s="2" t="inlineStr">
        <is>
          <t>01</t>
        </is>
      </c>
      <c r="C6" s="2" t="inlineStr">
        <is>
          <t>Groningenveld (HR 19 juli 2019)</t>
        </is>
      </c>
      <c r="D6" s="2" t="inlineStr">
        <is>
          <t>arrest</t>
        </is>
      </c>
      <c r="E6" s="2" t="inlineStr">
        <is>
          <t>Levert de enkele omstandigheid dat een onroerende zaak niet bestand is tegen bodembeweging een bijzondere kwetsbaarheid op die kan leiden tot vermindering van de schadevergoeding?</t>
        </is>
      </c>
      <c r="F6" s="2" t="inlineStr">
        <is>
          <t>Nee. De enkele omstandigheid dat een onroerende zaak niet bestand is tegen bodembeweging vormt geen bijzondere kwetsbaarheid die tot vermindering van de schadevergoeding kan leiden, noch op grond van art. 6:98 BW, noch op grond van art. 6:101 BW.</t>
        </is>
      </c>
      <c r="G6" s="2" t="inlineStr">
        <is>
          <t>De enkele omstandigheid dat een onroerende zaak niet bestand is tegen bodembeweging vormt geen bijzondere kwetsbaarheid van die zaak die tot een vermindering van de omvang van de verplichting tot schadevergoeding kan leiden.</t>
        </is>
      </c>
      <c r="H6" s="2" t="inlineStr">
        <is>
          <t>Bescherming van eigenaren van oudere/zwakkere bouw in het aardbevingsgebied.</t>
        </is>
      </c>
      <c r="I6" s="2" t="inlineStr">
        <is>
          <t>HR 19 juli 2019, ECLI:NL:HR:2019:1278, NJ 2020/391 (Groningenveld)</t>
        </is>
      </c>
      <c r="J6" s="2" t="inlineStr"/>
      <c r="K6" s="2" t="inlineStr"/>
    </row>
    <row r="7" ht="96" customHeight="1">
      <c r="A7" s="2" t="inlineStr">
        <is>
          <t>card_006</t>
        </is>
      </c>
      <c r="B7" s="2" t="inlineStr">
        <is>
          <t>01</t>
        </is>
      </c>
      <c r="C7" s="2" t="inlineStr">
        <is>
          <t>Groningenveld (HR 19 juli 2019)</t>
        </is>
      </c>
      <c r="D7" s="2" t="inlineStr">
        <is>
          <t>leerstuk</t>
        </is>
      </c>
      <c r="E7" s="2" t="inlineStr">
        <is>
          <t>Is gederfd woongenot vermogensschade of immateriële schade?</t>
        </is>
      </c>
      <c r="F7" s="2" t="inlineStr">
        <is>
          <t>Gederfd woongenot is vermogensschade; daarop kan de bewoner aanspraak maken. De schatting op de voet van art. 6:97 BW gebeurt aan de hand van de door de Hoge Raad in Groningenveld opgestelde richtlijnen.</t>
        </is>
      </c>
      <c r="G7" s="2" t="inlineStr">
        <is>
          <t>Indien door (het risico op) bodembeweging het woongenot wordt aangetast, is het daardoor gederfde woongenot vermogensschade op vergoeding waarvan een bewoner aanspraak kan maken.</t>
        </is>
      </c>
      <c r="H7" s="2" t="inlineStr">
        <is>
          <t>Onderscheid tussen vermogens- en immateriële schade: aantasting van woongenot is primair vermogensschade.</t>
        </is>
      </c>
      <c r="I7" s="2" t="inlineStr">
        <is>
          <t>HR 19 juli 2019, ECLI:NL:HR:2019:1278, NJ 2020/391 (Groningenveld)</t>
        </is>
      </c>
      <c r="J7" s="2" t="inlineStr"/>
      <c r="K7" s="2" t="inlineStr"/>
    </row>
    <row r="8" ht="96" customHeight="1">
      <c r="A8" s="2" t="inlineStr">
        <is>
          <t>card_007</t>
        </is>
      </c>
      <c r="B8" s="2" t="inlineStr">
        <is>
          <t>01</t>
        </is>
      </c>
      <c r="C8" s="2" t="inlineStr">
        <is>
          <t>Groningenveld (HR 19 juli 2019)</t>
        </is>
      </c>
      <c r="D8" s="2" t="inlineStr">
        <is>
          <t>leerstuk</t>
        </is>
      </c>
      <c r="E8" s="2" t="inlineStr">
        <is>
          <t>Wanneer kan 'een aantasting in de persoon op andere wijze' ex art. 6:106 onder b BW worden aangenomen zonder dat geestelijk letsel is vastgesteld?</t>
        </is>
      </c>
      <c r="F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G8" s="2" t="inlineStr">
        <is>
          <t>Van een aantasting in de persoon op andere wijze als bedoeld in art. 6:106 lid 1, onder b, BW, is niet reeds sprake bij de enkele schending van een fundamenteel recht.</t>
        </is>
      </c>
      <c r="H8" s="2" t="inlineStr">
        <is>
          <t>Verfijning van de EBI-lijn (HR 15 maart 2019): strenge maatstaf voor immateriële schade zonder vastgesteld letsel.</t>
        </is>
      </c>
      <c r="I8" s="2" t="inlineStr">
        <is>
          <t>HR 19 juli 2019, ECLI:NL:HR:2019:1278, NJ 2020/391 (Groningenveld)</t>
        </is>
      </c>
      <c r="J8" s="2" t="inlineStr"/>
      <c r="K8" s="2" t="inlineStr"/>
    </row>
    <row r="9" ht="96" customHeight="1">
      <c r="A9" s="2" t="inlineStr">
        <is>
          <t>card_008</t>
        </is>
      </c>
      <c r="B9" s="2" t="inlineStr">
        <is>
          <t>01</t>
        </is>
      </c>
      <c r="C9" s="2" t="inlineStr">
        <is>
          <t>Groningenveld (HR 19 juli 2019)</t>
        </is>
      </c>
      <c r="D9" s="2" t="inlineStr">
        <is>
          <t>leerstuk</t>
        </is>
      </c>
      <c r="E9" s="2" t="inlineStr">
        <is>
          <t>Staat de formele rechtskracht van instemmingsbesluiten met winningsplannen in de weg aan aansprakelijkheid van de Staat voor aardbevingsschade?</t>
        </is>
      </c>
      <c r="F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G9" s="2" t="inlineStr">
        <is>
          <t>De formele rechtskracht van instemmingsbesluiten in zaken als de onderhavige staat niet in de weg aan aansprakelijkheid van de Staat.</t>
        </is>
      </c>
      <c r="H9" s="2" t="inlineStr">
        <is>
          <t>Belangrijke nuancering van de leer van de formele rechtskracht bij besluiten met schadeveroorzakende effecten.</t>
        </is>
      </c>
      <c r="I9" s="2" t="inlineStr">
        <is>
          <t>HR 19 juli 2019, ECLI:NL:HR:2019:1278, NJ 2020/391 (Groningenveld)</t>
        </is>
      </c>
      <c r="J9" s="2" t="inlineStr"/>
      <c r="K9" s="2" t="inlineStr"/>
    </row>
    <row r="10" ht="96" customHeight="1">
      <c r="A10" s="2" t="inlineStr">
        <is>
          <t>card_009</t>
        </is>
      </c>
      <c r="B10" s="2" t="inlineStr">
        <is>
          <t>01</t>
        </is>
      </c>
      <c r="C10" s="2" t="inlineStr">
        <is>
          <t>Vivat/ATF (HR 10 januari 2020)</t>
        </is>
      </c>
      <c r="D10" s="2" t="inlineStr">
        <is>
          <t>arrest</t>
        </is>
      </c>
      <c r="E10" s="2" t="inlineStr">
        <is>
          <t>Wanneer is de omkeringsregel van toepassing bij schending van een veiligheidsnorm die een specifiek gevaar wil voorkomen?</t>
        </is>
      </c>
      <c r="F10" s="2" t="inlineStr">
        <is>
          <t>Als een norm specifiek strekt ter bescherming tegen een bepaald gevaar en dat gevaar zich heeft verwezenlijkt, moet de rechter bij onzekerheid over het condicio-sine-qua-non-verband tussen normschending en schade de omkeringsregel toepassen.</t>
        </is>
      </c>
      <c r="G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H10" s="2" t="inlineStr">
        <is>
          <t>Casus over soldeermachine die niet afgeschermd was tegen brandbare dampen. Producent aansprakelijk gesteld door verzekeraar Vivat/Reaal.</t>
        </is>
      </c>
      <c r="I10" s="2" t="inlineStr">
        <is>
          <t>HR 10 januari 2020, ECLI:NL:HR:2020:47, NJ 2020/45 (Vivat/ATF)</t>
        </is>
      </c>
      <c r="J10" s="2" t="inlineStr"/>
      <c r="K10" s="2" t="inlineStr"/>
    </row>
    <row r="11" ht="96" customHeight="1">
      <c r="A11" s="2" t="inlineStr">
        <is>
          <t>card_010</t>
        </is>
      </c>
      <c r="B11" s="2" t="inlineStr">
        <is>
          <t>01</t>
        </is>
      </c>
      <c r="C11" s="2" t="inlineStr">
        <is>
          <t>Afzinkkelder (HR 12 januari 2024)</t>
        </is>
      </c>
      <c r="D11" s="2" t="inlineStr">
        <is>
          <t>arrest</t>
        </is>
      </c>
      <c r="E11" s="2" t="inlineStr">
        <is>
          <t>Hoe beoordeelt de Hoge Raad de aansprakelijkheid van een opdrachtnemer bij bouwwerkzaamheden die schade aan het belendend perceel veroorzaken?</t>
        </is>
      </c>
      <c r="F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G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H11" s="2" t="inlineStr">
        <is>
          <t>HR rov. 3.2.2-3.2.3; letterlijke passage uit de uitspraak, opgenomen in syllabus module 1 (Van Dam), p. 42.</t>
        </is>
      </c>
      <c r="I11" s="2" t="inlineStr">
        <is>
          <t>HR 12 januari 2024, ECLI:NL:HR:2024:17 (Afzinkkelder)</t>
        </is>
      </c>
      <c r="J11" s="2" t="inlineStr"/>
      <c r="K11" s="2" t="inlineStr"/>
    </row>
    <row r="12" ht="96" customHeight="1">
      <c r="A12" s="2" t="inlineStr">
        <is>
          <t>card_011</t>
        </is>
      </c>
      <c r="B12" s="2" t="inlineStr">
        <is>
          <t>01</t>
        </is>
      </c>
      <c r="C12" s="2" t="inlineStr">
        <is>
          <t>MD/Shell (Hof Den Haag 12 november 2024)</t>
        </is>
      </c>
      <c r="D12" s="2" t="inlineStr">
        <is>
          <t>arrest</t>
        </is>
      </c>
      <c r="E12" s="2" t="inlineStr">
        <is>
          <t>Kan de burgerlijke rechter Shell verplichten tot een specifieke CO2-reductie van 45% in 2030?</t>
        </is>
      </c>
      <c r="F12" s="2" t="inlineStr">
        <is>
          <t>Nee. Het hof oordeelt dat er weliswaar een verplichting op Shell rust om gevaarlijke klimaatverandering tegen te gaan, maar de burgerlijke rechter kan niet vaststellen dat Shell haar CO2-emissies met 45% (of enig ander percentage) moet verminderen.</t>
        </is>
      </c>
      <c r="G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H12" s="2" t="inlineStr">
        <is>
          <t>Appel van Urgenda/Shell-lijn: wel zorgplicht, niet concreet reductiepercentage. Klimaataansprakelijkheid van private ondernemingen.</t>
        </is>
      </c>
      <c r="I12" s="2" t="inlineStr">
        <is>
          <t>Hof Den Haag 12 november 2024, ECLI:NL:GHDHA:2024:2099 (Milieudefensie/Shell)</t>
        </is>
      </c>
      <c r="J12" s="2" t="inlineStr"/>
      <c r="K12" s="2" t="inlineStr"/>
    </row>
    <row r="13" ht="96" customHeight="1">
      <c r="A13" s="2" t="inlineStr">
        <is>
          <t>card_012</t>
        </is>
      </c>
      <c r="B13" s="2" t="inlineStr">
        <is>
          <t>01</t>
        </is>
      </c>
      <c r="C13" s="2" t="inlineStr">
        <is>
          <t>MD/Shell (Hof Den Haag 12 november 2024)</t>
        </is>
      </c>
      <c r="D13" s="2" t="inlineStr">
        <is>
          <t>arrest</t>
        </is>
      </c>
      <c r="E13" s="2" t="inlineStr">
        <is>
          <t>Wat kan meer van Shell worden verwacht dan van andere ondernemingen als het gaat om klimaatverandering?</t>
        </is>
      </c>
      <c r="F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G13" s="2" t="inlineStr">
        <is>
          <t>Van Shell kan meer worden verwacht dan van de meeste andere ondernemingen […] als het gaat om het tegengaan van gevaarlijke klimaatverandering.</t>
        </is>
      </c>
      <c r="H13" s="2" t="inlineStr">
        <is>
          <t>Gradueel gedifferentieerde zorgplicht op basis van marktpositie en CO2-bijdrage van de onderneming.</t>
        </is>
      </c>
      <c r="I13" s="2" t="inlineStr">
        <is>
          <t>Hof Den Haag 12 november 2024, ECLI:NL:GHDHA:2024:2099 (Milieudefensie/Shell)</t>
        </is>
      </c>
      <c r="J13" s="2" t="inlineStr"/>
      <c r="K13" s="2" t="inlineStr"/>
    </row>
    <row r="14" ht="96" customHeight="1">
      <c r="A14" s="2" t="inlineStr">
        <is>
          <t>card_013</t>
        </is>
      </c>
      <c r="B14" s="2" t="inlineStr">
        <is>
          <t>01</t>
        </is>
      </c>
      <c r="C14" s="2" t="inlineStr">
        <is>
          <t>Ford Italia v ZP (HvJ EU 19 december 2024)</t>
        </is>
      </c>
      <c r="D14" s="2" t="inlineStr">
        <is>
          <t>arrest</t>
        </is>
      </c>
      <c r="E14" s="2" t="inlineStr">
        <is>
          <t>Wanneer is een distributeur van een product aan te merken als 'schijnbare producent' onder de Europese productaansprakelijkheidsrichtlijn?</t>
        </is>
      </c>
      <c r="F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G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H14" s="2" t="inlineStr">
        <is>
          <t>Dictum HvJ EU; letterlijke tekst uit syllabus module 1 (Van Dam), p. 70.</t>
        </is>
      </c>
      <c r="I14" s="2" t="inlineStr">
        <is>
          <t>HvJ EU 19 december 2024, C-157/23 (Ford Italia v ZP)</t>
        </is>
      </c>
      <c r="J14" s="2" t="inlineStr"/>
      <c r="K14" s="2" t="inlineStr"/>
    </row>
    <row r="15" ht="96" customHeight="1">
      <c r="A15" s="2" t="inlineStr">
        <is>
          <t>card_014</t>
        </is>
      </c>
      <c r="B15" s="2" t="inlineStr">
        <is>
          <t>01</t>
        </is>
      </c>
      <c r="C15" s="2" t="inlineStr">
        <is>
          <t>Van Dam, 'Taxus revisited' (MvV 2015/7-8)</t>
        </is>
      </c>
      <c r="D15" s="2" t="inlineStr">
        <is>
          <t>artikel</t>
        </is>
      </c>
      <c r="E15" s="2" t="inlineStr">
        <is>
          <t>Hoe wordt het kennisvereiste bij onrechtmatige daad primair geobjectiveerd?</t>
        </is>
      </c>
      <c r="F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G15" s="2" t="inlineStr">
        <is>
          <t>Toerekening van kennis is de meest gebruikelijke manier om gebrek aan kennis te corrigeren. Dit gebeurt door kennis objectief te toetsen: het is voldoende als iemand bekend behoort te zijn met het risico.</t>
        </is>
      </c>
      <c r="H15" s="2" t="inlineStr">
        <is>
          <t>Van Dam bouwt voort op het Taxus-arrest (HR 22 april 1994, NJ 1994/624) en bespreekt vijf verschijningsvormen van het kennisvereiste.</t>
        </is>
      </c>
      <c r="I15" s="2" t="inlineStr">
        <is>
          <t>C.C. van Dam, 'Taxus revisited. Een kleine taxonomie van het kennisvereiste', MvV 2015/7-8, p. 229-234</t>
        </is>
      </c>
      <c r="J15" s="2" t="inlineStr"/>
      <c r="K15" s="2" t="inlineStr"/>
    </row>
    <row r="16" ht="96" customHeight="1">
      <c r="A16" s="2" t="inlineStr">
        <is>
          <t>card_015</t>
        </is>
      </c>
      <c r="B16" s="2" t="inlineStr">
        <is>
          <t>01</t>
        </is>
      </c>
      <c r="C16" s="2" t="inlineStr">
        <is>
          <t>Van Dam, 'Taxus revisited' (MvV 2015/7-8)</t>
        </is>
      </c>
      <c r="D16" s="2" t="inlineStr">
        <is>
          <t>artikel</t>
        </is>
      </c>
      <c r="E16" s="2" t="inlineStr">
        <is>
          <t>Worden risico's van algemene bekendheid (zoals dat arsenicum giftig is) altijd aan de gedaagde toegerekend, ongeacht zijn rol?</t>
        </is>
      </c>
      <c r="F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G16" s="2" t="inlineStr">
        <is>
          <t>Risico's van algemene bekendheid worden iemand steeds toegerekend, ongeacht zijn rol in het maatschappelijk verkeer.</t>
        </is>
      </c>
      <c r="H16" s="2" t="inlineStr">
        <is>
          <t>Tweede laag in de taxonomie: naast rolgebonden objectivering is er algemene bekendheid (benzine is brandbaar, arsenicum giftig).</t>
        </is>
      </c>
      <c r="I16" s="2" t="inlineStr">
        <is>
          <t>C.C. van Dam, 'Taxus revisited. Een kleine taxonomie van het kennisvereiste', MvV 2015/7-8, p. 229-234</t>
        </is>
      </c>
      <c r="J16" s="2" t="inlineStr"/>
      <c r="K16" s="2" t="inlineStr"/>
    </row>
    <row r="17" ht="96" customHeight="1">
      <c r="A17" s="2" t="inlineStr">
        <is>
          <t>card_016</t>
        </is>
      </c>
      <c r="B17" s="2" t="inlineStr">
        <is>
          <t>01</t>
        </is>
      </c>
      <c r="C17" s="2" t="inlineStr">
        <is>
          <t>Van Dam, 'Taxus revisited' (MvV 2015/7-8)</t>
        </is>
      </c>
      <c r="D17" s="2" t="inlineStr">
        <is>
          <t>artikel</t>
        </is>
      </c>
      <c r="E17" s="2" t="inlineStr">
        <is>
          <t>Wanneer bestaat er naast algemeen bekend risicobewustzijn een onderzoeksplicht naar een concreet risico?</t>
        </is>
      </c>
      <c r="F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G17" s="2" t="inlineStr">
        <is>
          <t>De omvang van deze onderzoeksplicht wordt bepaald door de omvang van het risico enerzijds en de bezwaarlijkheid van het doen van onderzoek anderzijds. Hoe groter het risico, des te meer onderzoek kan worden gevergd.</t>
        </is>
      </c>
      <c r="H17" s="2" t="inlineStr">
        <is>
          <t>Kelderluik-achtige afweging toegepast op het kennisvereiste; onderzoeksplicht als remedie tegen onwetendheid.</t>
        </is>
      </c>
      <c r="I17" s="2" t="inlineStr">
        <is>
          <t>C.C. van Dam, 'Taxus revisited. Een kleine taxonomie van het kennisvereiste', MvV 2015/7-8, p. 229-234</t>
        </is>
      </c>
      <c r="J17" s="2" t="inlineStr"/>
      <c r="K17" s="2" t="inlineStr"/>
    </row>
    <row r="18" ht="96" customHeight="1">
      <c r="A18" s="2" t="inlineStr">
        <is>
          <t>card_017</t>
        </is>
      </c>
      <c r="B18" s="2" t="inlineStr">
        <is>
          <t>01</t>
        </is>
      </c>
      <c r="C18" s="2" t="inlineStr">
        <is>
          <t>Van Dam, 'Doorbraak moedervennootschappen' (2021)</t>
        </is>
      </c>
      <c r="D18" s="2" t="inlineStr">
        <is>
          <t>artikel</t>
        </is>
      </c>
      <c r="E18" s="2" t="inlineStr">
        <is>
          <t>Onder welke omstandigheden kan een moedervennootschap rechtstreeks aansprakelijk worden gehouden voor schade veroorzaakt door haar dochtervennootschap?</t>
        </is>
      </c>
      <c r="F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G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H18" s="2" t="inlineStr">
        <is>
          <t>C.C. van Dam, 'Doorbraak in de aansprakelijkheid van moedervennootschappen', syllabus module 1, p. 78.</t>
        </is>
      </c>
      <c r="I18" s="2" t="inlineStr">
        <is>
          <t>C.C. van Dam, 'Doorbraak in de aansprakelijkheid van moedervennootschappen', in: Geschriften Vereniging Corporate Litigation 2020-2021, Deventer: Kluwer 2021</t>
        </is>
      </c>
      <c r="J18" s="2" t="inlineStr"/>
      <c r="K18" s="2" t="inlineStr"/>
    </row>
    <row r="19" ht="96" customHeight="1">
      <c r="A19" s="2" t="inlineStr">
        <is>
          <t>card_018</t>
        </is>
      </c>
      <c r="B19" s="2" t="inlineStr">
        <is>
          <t>01</t>
        </is>
      </c>
      <c r="C19" s="2" t="inlineStr">
        <is>
          <t>Algemeen Van Dam — Kelderluik</t>
        </is>
      </c>
      <c r="D19" s="2" t="inlineStr">
        <is>
          <t>leerstuk</t>
        </is>
      </c>
      <c r="E19" s="2" t="inlineStr">
        <is>
          <t>Welke vier factoren zijn bepalend bij de beoordeling van gevaarzetting volgens de Kelderluik-criteria?</t>
        </is>
      </c>
      <c r="F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G19" s="2" t="inlineStr">
        <is>
          <t>De Kelderluik-factoren zoals door de Hoge Raad geformuleerd (HR 5 november 1965, NJ 1966/136), en nadien steeds herhaald, vormen het beoordelingskader voor gevaarzetting onder art. 6:162 BW.</t>
        </is>
      </c>
      <c r="H19" s="2" t="inlineStr">
        <is>
          <t>Klassieke vier-factoren-toets voor onrechtmatige gevaarzetting; basis van de Nederlandse leerstuk-onrechtmatige daad.</t>
        </is>
      </c>
      <c r="I19" s="2" t="inlineStr">
        <is>
          <t>HR 5 november 1965, NJ 1966/136 (Kelderluik)</t>
        </is>
      </c>
      <c r="J19" s="2" t="inlineStr"/>
      <c r="K19" s="2" t="inlineStr"/>
    </row>
    <row r="20" ht="96" customHeight="1">
      <c r="A20" s="2" t="inlineStr">
        <is>
          <t>card_019</t>
        </is>
      </c>
      <c r="B20" s="2" t="inlineStr">
        <is>
          <t>01</t>
        </is>
      </c>
      <c r="C20" s="2" t="inlineStr">
        <is>
          <t>Algemeen Van Dam — structuur 6:162 BW</t>
        </is>
      </c>
      <c r="D20" s="2" t="inlineStr">
        <is>
          <t>leerstuk</t>
        </is>
      </c>
      <c r="E20" s="2" t="inlineStr">
        <is>
          <t>Welke drie categorieën onrechtmatigheid onderscheidt art. 6:162 lid 2 BW?</t>
        </is>
      </c>
      <c r="F20" s="2" t="inlineStr">
        <is>
          <t>(1) inbreuk op een subjectief recht; (2) doen of nalaten in strijd met een wettelijke plicht; (3) doen of nalaten in strijd met hetgeen volgens ongeschreven recht in het maatschappelijk verkeer betaamt (maatschappelijke zorgvuldigheid).</t>
        </is>
      </c>
      <c r="G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H20" s="2" t="inlineStr">
        <is>
          <t>De drie onrechtmatigheidsgronden vormen samen met schuld, schade, causaal verband en relativiteit de vereisten voor aansprakelijkheid uit art. 6:162 BW.</t>
        </is>
      </c>
      <c r="I20" s="2" t="inlineStr">
        <is>
          <t>Art. 6:162 lid 2 BW</t>
        </is>
      </c>
      <c r="J20" s="2" t="inlineStr"/>
      <c r="K20" s="2" t="inlineStr"/>
    </row>
    <row r="21" ht="96" customHeight="1">
      <c r="A21" s="2" t="inlineStr">
        <is>
          <t>card_020</t>
        </is>
      </c>
      <c r="B21" s="2" t="inlineStr">
        <is>
          <t>01</t>
        </is>
      </c>
      <c r="C21" s="2" t="inlineStr">
        <is>
          <t>Algemeen Van Dam — schadevergoeding</t>
        </is>
      </c>
      <c r="D21" s="2" t="inlineStr">
        <is>
          <t>leerstuk</t>
        </is>
      </c>
      <c r="E21" s="2" t="inlineStr">
        <is>
          <t>Welke twee stappen moet de rechter doorlopen bij toepassing van art. 6:98 BW (toerekening van schade)?</t>
        </is>
      </c>
      <c r="F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G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H21" s="2" t="inlineStr">
        <is>
          <t>Art. 6:98 BW bevat de 'juridische causaliteit' als tweede stap; csqn is de feitelijke oorzakelijkheid.</t>
        </is>
      </c>
      <c r="I21" s="2" t="inlineStr">
        <is>
          <t>Art. 6:98 BW</t>
        </is>
      </c>
      <c r="J21" s="2" t="inlineStr"/>
      <c r="K21" s="2" t="inlineStr"/>
    </row>
    <row r="22" ht="96" customHeight="1">
      <c r="A22" s="3" t="inlineStr">
        <is>
          <t>card_021</t>
        </is>
      </c>
      <c r="B22" s="3" t="inlineStr">
        <is>
          <t>02</t>
        </is>
      </c>
      <c r="C22" s="3" t="inlineStr">
        <is>
          <t>Afd. 6.3.3 BW</t>
        </is>
      </c>
      <c r="D22" s="3" t="inlineStr">
        <is>
          <t>artikel</t>
        </is>
      </c>
      <c r="E22" s="3" t="inlineStr">
        <is>
          <t>Op welke grondslag berust productaansprakelijkheid in het BW en wat is de kernbepaling?</t>
        </is>
      </c>
      <c r="F22" s="3" t="inlineStr">
        <is>
          <t>Op Afdeling 6.3.3 BW (art. 6:185-193 BW), implementatie van Richtlijn 85/374/EEG (per 9 december 2026 vervangen door Richtlijn 2024/2853). Kernbepaling is art. 6:185 BW: de producent is aansprakelijk voor de schade veroorzaakt door een gebrek in zijn product.</t>
        </is>
      </c>
      <c r="G22" s="3" t="inlineStr">
        <is>
          <t>De producent is aansprakelijk voor de schade veroorzaakt door een gebrek in zijn product, behalve indien [een van de verweren van lid 1 zich voordoet].</t>
        </is>
      </c>
      <c r="H22" s="3" t="inlineStr">
        <is>
          <t>Risicoaansprakelijkheid: schuld hoeft niet te worden bewezen, alleen gebrek, schade en causaal verband.</t>
        </is>
      </c>
      <c r="I22" s="3" t="inlineStr">
        <is>
          <t>Art. 6:185 BW; Richtlijn 85/374/EEG</t>
        </is>
      </c>
      <c r="J22" s="3" t="inlineStr"/>
      <c r="K22" s="3" t="inlineStr"/>
    </row>
    <row r="23" ht="96" customHeight="1">
      <c r="A23" s="3" t="inlineStr">
        <is>
          <t>card_022</t>
        </is>
      </c>
      <c r="B23" s="3" t="inlineStr">
        <is>
          <t>02</t>
        </is>
      </c>
      <c r="C23" s="3" t="inlineStr">
        <is>
          <t>Franken, 'Hoe zat het ook alweer met… productaansprakelijkheid' (BB 2025/65)</t>
        </is>
      </c>
      <c r="D23" s="3" t="inlineStr">
        <is>
          <t>term</t>
        </is>
      </c>
      <c r="E23" s="3" t="inlineStr">
        <is>
          <t>Wat verstaat art. 6:186 BW onder een 'gebrekkig product'?</t>
        </is>
      </c>
      <c r="F23" s="3"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G23" s="3" t="inlineStr">
        <is>
          <t>Een product is gebrekkig, indien het niet de veiligheid biedt die men daarvan mag verwachten, alle omstandigheden in aanmerking genomen en in het bijzonder […].</t>
        </is>
      </c>
      <c r="H23" s="3" t="inlineStr">
        <is>
          <t>Consumentgericht veiligheidscriterium: ga uit van verwachtingen van het gemiddeld publiek, niet van de individuele gebruiker.</t>
        </is>
      </c>
      <c r="I23" s="3" t="inlineStr">
        <is>
          <t>Art. 6:186 BW</t>
        </is>
      </c>
      <c r="J23" s="3" t="inlineStr"/>
      <c r="K23" s="3" t="inlineStr"/>
    </row>
    <row r="24" ht="96" customHeight="1">
      <c r="A24" s="3" t="inlineStr">
        <is>
          <t>card_023</t>
        </is>
      </c>
      <c r="B24" s="3" t="inlineStr">
        <is>
          <t>02</t>
        </is>
      </c>
      <c r="C24" s="3" t="inlineStr">
        <is>
          <t>Franken, 'Hoe zat het ook alweer met… productaansprakelijkheid'</t>
        </is>
      </c>
      <c r="D24" s="3" t="inlineStr">
        <is>
          <t>term</t>
        </is>
      </c>
      <c r="E24" s="3" t="inlineStr">
        <is>
          <t>Wat valt onder het begrip 'product' in de zin van art. 6:187 lid 1 BW?</t>
        </is>
      </c>
      <c r="F24" s="3" t="inlineStr">
        <is>
          <t>Een roerende zaak, ook als deze een bestanddeel vormt van een andere roerende of onroerende zaak, alsmede elektriciteit. Sinds Richtlijn 2024/2853 (gedeeltelijk in werking 2026) is dit uitgebreid tot software en AI-systemen.</t>
        </is>
      </c>
      <c r="G24" s="3" t="inlineStr">
        <is>
          <t>Onder product wordt verstaan een roerende zaak, ook nadat zij een bestanddeel is gaan vormen van een andere roerende of onroerende zaak, alsmede elektriciteit.</t>
        </is>
      </c>
      <c r="H24" s="3" t="inlineStr">
        <is>
          <t>Belangrijke uitbreiding in 2024-richtlijn: digitale producten en software vallen voortaan expliciet onder het regime.</t>
        </is>
      </c>
      <c r="I24" s="3" t="inlineStr">
        <is>
          <t>Art. 6:187 lid 1 BW; Richtlijn (EU) 2024/2853</t>
        </is>
      </c>
      <c r="J24" s="3" t="inlineStr"/>
      <c r="K24" s="3" t="inlineStr"/>
    </row>
    <row r="25" ht="96" customHeight="1">
      <c r="A25" s="3" t="inlineStr">
        <is>
          <t>card_024</t>
        </is>
      </c>
      <c r="B25" s="3" t="inlineStr">
        <is>
          <t>02</t>
        </is>
      </c>
      <c r="C25" s="3" t="inlineStr">
        <is>
          <t>Franken, 'Hoe zat het ook alweer met… productaansprakelijkheid'</t>
        </is>
      </c>
      <c r="D25" s="3" t="inlineStr">
        <is>
          <t>term</t>
        </is>
      </c>
      <c r="E25" s="3" t="inlineStr">
        <is>
          <t>Wie is 'producent' in de zin van art. 6:187 lid 2 BW?</t>
        </is>
      </c>
      <c r="F25" s="3"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G25" s="3" t="inlineStr">
        <is>
          <t>Onder producent wordt verstaan de fabrikant van een eindproduct, de producent van een grondstof of de fabrikant van een onderdeel, alsmede een ieder die zich als producent presenteert.</t>
        </is>
      </c>
      <c r="H25" s="3" t="inlineStr">
        <is>
          <t>Ruime producentdefinitie voorkomt dat benadeelden met lege handen staan als de werkelijke fabrikant buiten de EU zit.</t>
        </is>
      </c>
      <c r="I25" s="3" t="inlineStr">
        <is>
          <t>Art. 6:187 lid 2 BW</t>
        </is>
      </c>
      <c r="J25" s="3" t="inlineStr"/>
      <c r="K25" s="3" t="inlineStr"/>
    </row>
    <row r="26" ht="96" customHeight="1">
      <c r="A26" s="3" t="inlineStr">
        <is>
          <t>card_025</t>
        </is>
      </c>
      <c r="B26" s="3" t="inlineStr">
        <is>
          <t>02</t>
        </is>
      </c>
      <c r="C26" s="3" t="inlineStr">
        <is>
          <t>Franken, 'Hoe zat het ook alweer met… productaansprakelijkheid'</t>
        </is>
      </c>
      <c r="D26" s="3" t="inlineStr">
        <is>
          <t>leerstuk</t>
        </is>
      </c>
      <c r="E26" s="3" t="inlineStr">
        <is>
          <t>Hoe is de bewijslast verdeeld onder art. 6:188 BW?</t>
        </is>
      </c>
      <c r="F26" s="3" t="inlineStr">
        <is>
          <t>De benadeelde moet de schade, het gebrek en het causaal verband tussen gebrek en schade bewijzen. De producent moet de verweren (zoals het ontwikkelingsrisico-verweer van art. 6:185 lid 1 sub e BW) bewijzen.</t>
        </is>
      </c>
      <c r="G26" s="3" t="inlineStr">
        <is>
          <t>De benadeelde dient de schade, het gebrek en het oorzakelijk verband tussen het gebrek en de schade te bewijzen.</t>
        </is>
      </c>
      <c r="H26" s="3" t="inlineStr">
        <is>
          <t>Omkering ten opzichte van 6:162: de benadeelde hoeft geen schuld of onrechtmatigheid te bewijzen, alleen het gebrek.</t>
        </is>
      </c>
      <c r="I26" s="3" t="inlineStr">
        <is>
          <t>Art. 6:188 BW</t>
        </is>
      </c>
      <c r="J26" s="3" t="inlineStr"/>
      <c r="K26" s="3" t="inlineStr"/>
    </row>
    <row r="27" ht="96" customHeight="1">
      <c r="A27" s="3" t="inlineStr">
        <is>
          <t>card_026</t>
        </is>
      </c>
      <c r="B27" s="3" t="inlineStr">
        <is>
          <t>02</t>
        </is>
      </c>
      <c r="C27" s="3" t="inlineStr">
        <is>
          <t>Franken, 'Hoe zat het ook alweer met… productaansprakelijkheid'</t>
        </is>
      </c>
      <c r="D27" s="3" t="inlineStr">
        <is>
          <t>leerstuk</t>
        </is>
      </c>
      <c r="E27" s="3" t="inlineStr">
        <is>
          <t>Wat houdt het ontwikkelingsrisico-verweer (state-of-the-art-verweer) in?</t>
        </is>
      </c>
      <c r="F27" s="3" t="inlineStr">
        <is>
          <t>De producent is niet aansprakelijk als hij bewijst dat het op grond van de stand van de wetenschappelijke en technische kennis op het tijdstip van in het verkeer brengen onmogelijk was het bestaan van het gebrek te ontdekken (art. 6:185 lid 1 sub e BW).</t>
        </is>
      </c>
      <c r="G27" s="3" t="inlineStr">
        <is>
          <t>De producent is niet aansprakelijk […] indien hij bewijst: […] dat het op grond van de stand van de wetenschappelijke en technische kennis op het tijdstip waarop hij het product in het verkeer bracht, onmogelijk was het bestaan van het gebrek te ontdekken.</t>
        </is>
      </c>
      <c r="H27" s="3" t="inlineStr">
        <is>
          <t>Streng uitgelegd: maatgevend is de hoogst bereikbare wetenschappelijke stand, niet het gemiddelde van de branche.</t>
        </is>
      </c>
      <c r="I27" s="3" t="inlineStr">
        <is>
          <t>Art. 6:185 lid 1 sub e BW</t>
        </is>
      </c>
      <c r="J27" s="3" t="inlineStr"/>
      <c r="K27" s="3" t="inlineStr"/>
    </row>
    <row r="28" ht="96" customHeight="1">
      <c r="A28" s="3" t="inlineStr">
        <is>
          <t>card_027</t>
        </is>
      </c>
      <c r="B28" s="3" t="inlineStr">
        <is>
          <t>02</t>
        </is>
      </c>
      <c r="C28" s="3" t="inlineStr">
        <is>
          <t>Asser/Hartkamp &amp; Sieburgh 6-IV</t>
        </is>
      </c>
      <c r="D28" s="3" t="inlineStr">
        <is>
          <t>artikel</t>
        </is>
      </c>
      <c r="E28" s="3" t="inlineStr">
        <is>
          <t>Welke schade komt op grond van art. 6:190 BW voor vergoeding in aanmerking bij productaansprakelijkheid?</t>
        </is>
      </c>
      <c r="F28" s="3" t="inlineStr">
        <is>
          <t>Schade door dood of lichamelijk letsel, en zaakschade aan een zaak bestemd voor privégebruik (boven een franchise van € 500). Zuivere vermogensschade en schade aan het gebrekkige product zelf zijn uitgesloten.</t>
        </is>
      </c>
      <c r="G28" s="3" t="inlineStr">
        <is>
          <t>Onder schade als bedoeld in artikel 185 wordt verstaan: a. schade door dood of lichamelijk letsel; b. schade door het product toegebracht aan een andere zaak die gewoonlijk voor gebruik of verbruik in de privésfeer is bestemd.</t>
        </is>
      </c>
      <c r="H28" s="3" t="inlineStr">
        <is>
          <t>Bewuste beperking door Europese wetgever: productaansprakelijkheid richt zich op consumentenschade, niet op bedrijfsschade.</t>
        </is>
      </c>
      <c r="I28" s="3" t="inlineStr">
        <is>
          <t>Art. 6:190 BW</t>
        </is>
      </c>
      <c r="J28" s="3" t="inlineStr"/>
      <c r="K28" s="3" t="inlineStr"/>
    </row>
    <row r="29" ht="96" customHeight="1">
      <c r="A29" s="3" t="inlineStr">
        <is>
          <t>card_028</t>
        </is>
      </c>
      <c r="B29" s="3" t="inlineStr">
        <is>
          <t>02</t>
        </is>
      </c>
      <c r="C29" s="3" t="inlineStr">
        <is>
          <t>Asser/Hartkamp &amp; Sieburgh 6-IV</t>
        </is>
      </c>
      <c r="D29" s="3" t="inlineStr">
        <is>
          <t>artikel</t>
        </is>
      </c>
      <c r="E29" s="3" t="inlineStr">
        <is>
          <t>Welke vervaltermijn geldt voor de vordering tot schadevergoeding wegens productaansprakelijkheid?</t>
        </is>
      </c>
      <c r="F29" s="3"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G29" s="3"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H29" s="3" t="inlineStr">
        <is>
          <t>Onderscheid tussen relatieve (3 jaar) en absolute (10 jaar) termijn; kort in vergelijking met de reguliere verjaring van art. 3:310 BW.</t>
        </is>
      </c>
      <c r="I29" s="3" t="inlineStr">
        <is>
          <t>Art. 6:191 BW</t>
        </is>
      </c>
      <c r="J29" s="3" t="inlineStr"/>
      <c r="K29" s="3" t="inlineStr"/>
    </row>
    <row r="30" ht="96" customHeight="1">
      <c r="A30" s="3" t="inlineStr">
        <is>
          <t>card_029</t>
        </is>
      </c>
      <c r="B30" s="3" t="inlineStr">
        <is>
          <t>02</t>
        </is>
      </c>
      <c r="C30" s="3" t="inlineStr">
        <is>
          <t>Afd. 6.3.2 BW — zaken</t>
        </is>
      </c>
      <c r="D30" s="3" t="inlineStr">
        <is>
          <t>artikel</t>
        </is>
      </c>
      <c r="E30" s="3" t="inlineStr">
        <is>
          <t>Wanneer is de bezitter van een gebrekkige opstal aansprakelijk op grond van art. 6:174 BW?</t>
        </is>
      </c>
      <c r="F30" s="3"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G30" s="3" t="inlineStr">
        <is>
          <t>De bezitter van een opstal die niet voldoet aan de eisen die men daaraan in de gegeven omstandigheden mag stellen, en daardoor gevaar voor personen of zaken oplevert, is, wanneer dit gevaar zich verwezenlijkt, aansprakelijk.</t>
        </is>
      </c>
      <c r="H30" s="3" t="inlineStr">
        <is>
          <t>Geen schuld vereist: de 'gebrekkigheid' wordt geobjectiveerd aan de hand van in redelijkheid te stellen eisen.</t>
        </is>
      </c>
      <c r="I30" s="3" t="inlineStr">
        <is>
          <t>Art. 6:174 BW</t>
        </is>
      </c>
      <c r="J30" s="3" t="inlineStr"/>
      <c r="K30" s="3" t="inlineStr"/>
    </row>
    <row r="31" ht="96" customHeight="1">
      <c r="A31" s="3" t="inlineStr">
        <is>
          <t>card_030</t>
        </is>
      </c>
      <c r="B31" s="3" t="inlineStr">
        <is>
          <t>02</t>
        </is>
      </c>
      <c r="C31" s="3" t="inlineStr">
        <is>
          <t>Afd. 6.3.2 BW — dieren</t>
        </is>
      </c>
      <c r="D31" s="3" t="inlineStr">
        <is>
          <t>artikel</t>
        </is>
      </c>
      <c r="E31" s="3" t="inlineStr">
        <is>
          <t>Wie is aansprakelijk voor schade veroorzaakt door een dier en waarom is dit een risicoaansprakelijkheid?</t>
        </is>
      </c>
      <c r="F31" s="3" t="inlineStr">
        <is>
          <t>De bezitter van het dier (art. 6:179 BW). De aansprakelijkheid berust op het onberekenbare, eigen gedrag van het dier (de 'eigen energie'); schuld van de bezitter is niet vereist.</t>
        </is>
      </c>
      <c r="G31" s="3"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H31" s="3" t="inlineStr">
        <is>
          <t>Belangrijke nuance: de tenzij-clausule werkt als een denkbeeldige 6:162-toets over een gedachte, menselijke gedraging van de bezitter.</t>
        </is>
      </c>
      <c r="I31" s="3" t="inlineStr">
        <is>
          <t>Art. 6:179 BW</t>
        </is>
      </c>
      <c r="J31" s="3" t="inlineStr"/>
      <c r="K31" s="3" t="inlineStr"/>
    </row>
    <row r="32" ht="96" customHeight="1">
      <c r="A32" s="3" t="inlineStr">
        <is>
          <t>card_031</t>
        </is>
      </c>
      <c r="B32" s="3" t="inlineStr">
        <is>
          <t>02</t>
        </is>
      </c>
      <c r="C32" s="3" t="inlineStr">
        <is>
          <t>Afd. 6.3.2 BW — roerende zaken</t>
        </is>
      </c>
      <c r="D32" s="3" t="inlineStr">
        <is>
          <t>artikel</t>
        </is>
      </c>
      <c r="E32" s="3" t="inlineStr">
        <is>
          <t>Voor welke gevaarzetting van roerende zaken is de bezitter aansprakelijk op grond van art. 6:173 BW?</t>
        </is>
      </c>
      <c r="F32" s="3" t="inlineStr">
        <is>
          <t>Voor roerende zaken die bekend zijn bij een bijzonder gevaar voor personen of zaken bij gebrekkig onderhoud, constructie of werking, en dat gevaar zich verwezenlijkt. Niet: zaken die uitsluitend gevaarlijk zijn door onjuist gebruik.</t>
        </is>
      </c>
      <c r="G32" s="3"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H32" s="3" t="inlineStr">
        <is>
          <t>Beperkter dan opstal: alleen 'zaken waarvan bekend is' dat ze bij gebrek gevaarlijk zijn. Bedrijfsmatige gebruiker: zie lid 2.</t>
        </is>
      </c>
      <c r="I32" s="3" t="inlineStr">
        <is>
          <t>Art. 6:173 BW</t>
        </is>
      </c>
      <c r="J32" s="3" t="inlineStr"/>
      <c r="K32" s="3" t="inlineStr"/>
    </row>
    <row r="33" ht="96" customHeight="1">
      <c r="A33" s="3" t="inlineStr">
        <is>
          <t>card_032</t>
        </is>
      </c>
      <c r="B33" s="3" t="inlineStr">
        <is>
          <t>02</t>
        </is>
      </c>
      <c r="C33" s="3" t="inlineStr">
        <is>
          <t>Afd. 6.3.2 BW — gevaarlijke stoffen</t>
        </is>
      </c>
      <c r="D33" s="3" t="inlineStr">
        <is>
          <t>artikel</t>
        </is>
      </c>
      <c r="E33" s="3" t="inlineStr">
        <is>
          <t>Wanneer is de bedrijfsmatige gebruiker van een gevaarlijke stof aansprakelijk op grond van art. 6:175 BW?</t>
        </is>
      </c>
      <c r="F33" s="3" t="inlineStr">
        <is>
          <t>Als hij beroepsmatig of bedrijfsmatig een stof gebruikt of onder zich heeft waarvan bekend is dat zij zodanige eigenschappen heeft dat zij bijzonder gevaar van ernstige aard oplevert, en dat gevaar zich verwezenlijkt.</t>
        </is>
      </c>
      <c r="G33" s="3"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H33" s="3" t="inlineStr">
        <is>
          <t>Risicoaansprakelijkheid met bedrijfsmatige nexus: niet de bezitter, maar de gebruiker in beroep/bedrijf. Vgl. CMI-lijn (Cover My Incident).</t>
        </is>
      </c>
      <c r="I33" s="3" t="inlineStr">
        <is>
          <t>Art. 6:175 BW</t>
        </is>
      </c>
      <c r="J33" s="3" t="inlineStr"/>
      <c r="K33" s="3" t="inlineStr"/>
    </row>
    <row r="34" ht="96" customHeight="1">
      <c r="A34" s="3" t="inlineStr">
        <is>
          <t>card_033</t>
        </is>
      </c>
      <c r="B34" s="3" t="inlineStr">
        <is>
          <t>02</t>
        </is>
      </c>
      <c r="C34" s="3" t="inlineStr">
        <is>
          <t>Mutsaerts, 'Wijziging aansprakelijkheid gebrekkige producten' (WAAR&amp;WET juli 2025)</t>
        </is>
      </c>
      <c r="D34" s="3" t="inlineStr">
        <is>
          <t>artikel</t>
        </is>
      </c>
      <c r="E34" s="3" t="inlineStr">
        <is>
          <t>Wat zijn drie kernwijzigingen in de nieuwe productaansprakelijkheidsrichtlijn (Richtlijn 2024/2853)?</t>
        </is>
      </c>
      <c r="F34" s="3" t="inlineStr">
        <is>
          <t>(1) Uitbreiding van het productbegrip naar software en AI; (2) ruimer schadebegrip (psychische schade en dataverlies); (3) verlichting van de bewijslast voor de benadeelde door bewijsvermoedens bij complexe producten.</t>
        </is>
      </c>
      <c r="G34" s="3"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H34" s="3" t="inlineStr">
        <is>
          <t>Overweging 30 Richtlijn 2024/2853; aangehaald door Mutsaerts in WAAR&amp;WET 2025 (syllabus module 2, Franken).</t>
        </is>
      </c>
      <c r="I34" s="3" t="inlineStr">
        <is>
          <t>B. Mutsaerts, 'Wijziging aansprakelijkheid; wees voorbereid', WAAR&amp;WET juli 2025</t>
        </is>
      </c>
      <c r="J34" s="3" t="inlineStr"/>
      <c r="K34" s="3" t="inlineStr"/>
    </row>
    <row r="35" ht="96" customHeight="1">
      <c r="A35" s="3" t="inlineStr">
        <is>
          <t>card_034</t>
        </is>
      </c>
      <c r="B35" s="3" t="inlineStr">
        <is>
          <t>02</t>
        </is>
      </c>
      <c r="C35" s="3" t="inlineStr">
        <is>
          <t>Franken, inleiding syllabus</t>
        </is>
      </c>
      <c r="D35" s="3" t="inlineStr">
        <is>
          <t>leerstuk</t>
        </is>
      </c>
      <c r="E35" s="3" t="inlineStr">
        <is>
          <t>Hoe staan de buitencontractuele productaansprakelijkheid (Afd. 6.3.3 BW) en het leerstuk van de ongeschikte hulpzaak (art. 6:77 BW) tot elkaar?</t>
        </is>
      </c>
      <c r="F35" s="3"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G35" s="3"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H35" s="3" t="inlineStr">
        <is>
          <t>Asser/Sieburgh 6-IV 2019/268, aangehaald in syllabus module 2 (Franken), p. 69.</t>
        </is>
      </c>
      <c r="I35" s="3" t="inlineStr">
        <is>
          <t>Art. 6:77 BW; HR 19 juni 2020, ECLI:NL:HR:2020:1090 (Beadle v. MST)</t>
        </is>
      </c>
      <c r="J35" s="3" t="inlineStr"/>
      <c r="K35" s="3" t="inlineStr"/>
    </row>
    <row r="36" ht="96" customHeight="1">
      <c r="A36" s="3" t="inlineStr">
        <is>
          <t>card_035</t>
        </is>
      </c>
      <c r="B36" s="3" t="inlineStr">
        <is>
          <t>02</t>
        </is>
      </c>
      <c r="C36" s="3" t="inlineStr">
        <is>
          <t>Asser/Hartkamp &amp; Sieburgh 6-IV</t>
        </is>
      </c>
      <c r="D36" s="3" t="inlineStr">
        <is>
          <t>leerstuk</t>
        </is>
      </c>
      <c r="E36" s="3" t="inlineStr">
        <is>
          <t>Wat houdt de hoofdregel van art. 6:77 BW in over aansprakelijkheid voor ongeschikte hulpzaken?</t>
        </is>
      </c>
      <c r="F36" s="3"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G36" s="3"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H36" s="3" t="inlineStr">
        <is>
          <t>Basisnorm voor contractuele risicoaansprakelijkheid voor zaken; tenzij-clausule biedt ruimte voor billijkheidscorrectie.</t>
        </is>
      </c>
      <c r="I36" s="3" t="inlineStr">
        <is>
          <t>Art. 6:77 BW</t>
        </is>
      </c>
      <c r="J36" s="3" t="inlineStr"/>
      <c r="K36" s="3" t="inlineStr"/>
    </row>
    <row r="37" ht="96" customHeight="1">
      <c r="A37" s="3" t="inlineStr">
        <is>
          <t>card_036</t>
        </is>
      </c>
      <c r="B37" s="3" t="inlineStr">
        <is>
          <t>02</t>
        </is>
      </c>
      <c r="C37" s="3" t="inlineStr">
        <is>
          <t>PIP-implantaten / Miragel-plombe-lijn</t>
        </is>
      </c>
      <c r="D37" s="3" t="inlineStr">
        <is>
          <t>arrest</t>
        </is>
      </c>
      <c r="E37" s="3" t="inlineStr">
        <is>
          <t>Hoe beoordeelt de Hoge Raad de aansprakelijkheid van een arts of ziekenhuis voor een gebrekkig medisch hulpmiddel onder art. 6:77 BW?</t>
        </is>
      </c>
      <c r="F37" s="3"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G37" s="3"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H37" s="3" t="inlineStr">
        <is>
          <t>HvJ EU Boston Scientific Medizintechnik/AOK Sachsen-Anhalt (C-503/13 en C-504/13), parafrase in Mutsaerts, WAAR&amp;WET 2025 (syllabus module 2).</t>
        </is>
      </c>
      <c r="I37" s="3" t="inlineStr">
        <is>
          <t>HR 19 juni 2020, ECLI:NL:HR:2020:1090 (Miragel-plombe)</t>
        </is>
      </c>
      <c r="J37" s="3" t="inlineStr"/>
      <c r="K37" s="3" t="inlineStr"/>
    </row>
    <row r="38" ht="96" customHeight="1">
      <c r="A38" s="3" t="inlineStr">
        <is>
          <t>card_037</t>
        </is>
      </c>
      <c r="B38" s="3" t="inlineStr">
        <is>
          <t>02</t>
        </is>
      </c>
      <c r="C38" s="3" t="inlineStr">
        <is>
          <t>Franken, syllabus — exoneraties</t>
        </is>
      </c>
      <c r="D38" s="3" t="inlineStr">
        <is>
          <t>leerstuk</t>
        </is>
      </c>
      <c r="E38" s="3" t="inlineStr">
        <is>
          <t>Onder welke omstandigheden wordt een beroep op een exoneratieclausule in een B2B-overeenkomst naar maatstaven van redelijkheid en billijkheid onaanvaardbaar geacht?</t>
        </is>
      </c>
      <c r="F38" s="3"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G38" s="3"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H38" s="3" t="inlineStr">
        <is>
          <t>Saladin/HBU-lijn (HR 19 mei 1967, NJ 1967/261) + HR 12 december 1997, NJ 1998/208 (Stein/Driessen) + latere nuanceringen.</t>
        </is>
      </c>
      <c r="I38" s="3" t="inlineStr">
        <is>
          <t>HR 12 december 1997, NJ 1998/208 (Stein/Driessen); HR 5 september 2008, NJ 2008/480 (Telfort/Scaramea)</t>
        </is>
      </c>
      <c r="J38" s="3" t="inlineStr"/>
      <c r="K38" s="3" t="inlineStr"/>
    </row>
    <row r="39" ht="96" customHeight="1">
      <c r="A39" s="3" t="inlineStr">
        <is>
          <t>card_038</t>
        </is>
      </c>
      <c r="B39" s="3" t="inlineStr">
        <is>
          <t>02</t>
        </is>
      </c>
      <c r="C39" s="3" t="inlineStr">
        <is>
          <t>Voorbeeld AVB-polisvoorwaarden</t>
        </is>
      </c>
      <c r="D39" s="3" t="inlineStr">
        <is>
          <t>term</t>
        </is>
      </c>
      <c r="E39" s="3" t="inlineStr">
        <is>
          <t>Wat is het dekkingsbereik van een standaard AVB-verzekering (aansprakelijkheid voor bedrijven)?</t>
        </is>
      </c>
      <c r="F39" s="3"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G39" s="3" t="inlineStr">
        <is>
          <t>Onder de AVB-dekking valt de aansprakelijkheid van verzekerde voor door derden geleden schade aan personen en zaken, inclusief de daaruit voortvloeiende gevolgschade.</t>
        </is>
      </c>
      <c r="H39" s="3" t="inlineStr">
        <is>
          <t>Franken bespreekt de AVB omdat productaansprakelijkheid en bedrijfsaansprakelijkheid vaak via de AVB worden afgewikkeld.</t>
        </is>
      </c>
      <c r="I39" s="3" t="inlineStr">
        <is>
          <t>Voorbeeld polisvoorwaarden AVB (syllabus Franken, p. 89 e.v.)</t>
        </is>
      </c>
      <c r="J39" s="3" t="inlineStr"/>
      <c r="K39" s="3" t="inlineStr"/>
    </row>
    <row r="40" ht="96" customHeight="1">
      <c r="A40" s="3" t="inlineStr">
        <is>
          <t>card_039</t>
        </is>
      </c>
      <c r="B40" s="3" t="inlineStr">
        <is>
          <t>02</t>
        </is>
      </c>
      <c r="C40" s="3" t="inlineStr">
        <is>
          <t>Franken, inleiding syllabus</t>
        </is>
      </c>
      <c r="D40" s="3" t="inlineStr">
        <is>
          <t>leerstuk</t>
        </is>
      </c>
      <c r="E40" s="3" t="inlineStr">
        <is>
          <t>Wat is het verschil tussen een 'claims made'- en een 'loss occurrence'-dekking in een AVB-polis?</t>
        </is>
      </c>
      <c r="F40" s="3"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G40" s="3"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H40" s="3" t="inlineStr">
        <is>
          <t>Syllabus module 2 (Franken), voetnoot 740 en begeleidende tekst.</t>
        </is>
      </c>
      <c r="I40" s="3" t="inlineStr">
        <is>
          <t>Praktische leerstuk uit Franken-syllabus; zie ook J. Wansink, De algemene aansprakelijkheidsverzekering, 4e dr., Kluwer 2016</t>
        </is>
      </c>
      <c r="J40" s="3" t="inlineStr"/>
      <c r="K40" s="3" t="inlineStr"/>
    </row>
    <row r="41" ht="96" customHeight="1">
      <c r="A41" s="4" t="inlineStr">
        <is>
          <t>card_040</t>
        </is>
      </c>
      <c r="B41" s="4" t="inlineStr">
        <is>
          <t>05</t>
        </is>
      </c>
      <c r="C41" s="4" t="inlineStr">
        <is>
          <t>Art. 6:76 BW</t>
        </is>
      </c>
      <c r="D41" s="4" t="inlineStr">
        <is>
          <t>artikel</t>
        </is>
      </c>
      <c r="E41" s="4" t="inlineStr">
        <is>
          <t>Wat is de hoofdregel van art. 6:76 BW over aansprakelijkheid voor hulppersonen in contractuele verhoudingen?</t>
        </is>
      </c>
      <c r="F41" s="4"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G41" s="4" t="inlineStr">
        <is>
          <t>Maakt de schuldenaar bij de uitvoering van een verbintenis gebruik van de hulp van andere personen, dan is hij voor hun gedragingen op gelijke wijze als voor eigen gedragingen aansprakelijk.</t>
        </is>
      </c>
      <c r="H41" s="4" t="inlineStr">
        <is>
          <t>Kernbepaling contractuele hulppersoonaansprakelijkheid. Moet worden onderscheiden van niet-contractuele 6:170-aansprakelijkheid.</t>
        </is>
      </c>
      <c r="I41" s="4" t="inlineStr">
        <is>
          <t>Art. 6:76 BW</t>
        </is>
      </c>
      <c r="J41" s="4" t="inlineStr"/>
      <c r="K41" s="4" t="inlineStr"/>
    </row>
    <row r="42" ht="96" customHeight="1">
      <c r="A42" s="4" t="inlineStr">
        <is>
          <t>card_041</t>
        </is>
      </c>
      <c r="B42" s="4" t="inlineStr">
        <is>
          <t>05</t>
        </is>
      </c>
      <c r="C42" s="4" t="inlineStr">
        <is>
          <t>Art. 6:170 BW</t>
        </is>
      </c>
      <c r="D42" s="4" t="inlineStr">
        <is>
          <t>artikel</t>
        </is>
      </c>
      <c r="E42" s="4" t="inlineStr">
        <is>
          <t>Onder welke vier voorwaarden is de werkgever op grond van art. 6:170 lid 1 BW aansprakelijk voor een fout van zijn ondergeschikte?</t>
        </is>
      </c>
      <c r="F42" s="4"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G42" s="4"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H42" s="4" t="inlineStr">
        <is>
          <t>Risicoaansprakelijkheid van de werkgever. Zowel formele (arbeidsovereenkomst) als materiële ondergeschiktheid kunnen het gezag opleveren.</t>
        </is>
      </c>
      <c r="I42" s="4" t="inlineStr">
        <is>
          <t>Art. 6:170 lid 1 BW</t>
        </is>
      </c>
      <c r="J42" s="4" t="inlineStr"/>
      <c r="K42" s="4" t="inlineStr"/>
    </row>
    <row r="43" ht="96" customHeight="1">
      <c r="A43" s="4" t="inlineStr">
        <is>
          <t>card_042</t>
        </is>
      </c>
      <c r="B43" s="4" t="inlineStr">
        <is>
          <t>05</t>
        </is>
      </c>
      <c r="C43" s="4" t="inlineStr">
        <is>
          <t>Geldnet/Kwantum (HR 14 juni 2002)</t>
        </is>
      </c>
      <c r="D43" s="4" t="inlineStr">
        <is>
          <t>arrest</t>
        </is>
      </c>
      <c r="E43" s="4" t="inlineStr">
        <is>
          <t>Kan een schuldenaar zich onder art. 6:76 BW verschuilen achter een onafhankelijke opdrachtnemer die bij de uitvoering is ingeschakeld?</t>
        </is>
      </c>
      <c r="F43" s="4" t="inlineStr">
        <is>
          <t>Nee, niet zonder meer. Ook zelfstandige opdrachtnemers kunnen 'hulp bij de uitvoering' opleveren als zij worden ingezet bij de uitvoering van de verbintenis van de schuldenaar jegens zijn wederpartij. De schuldenaar is dan voor hun gedragingen aansprakelijk.</t>
        </is>
      </c>
      <c r="G43" s="4"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H43" s="4" t="inlineStr">
        <is>
          <t>HR Geldnet/Kwantum, rov.; letterlijk in syllabus module 5 (Ondergeschikten), p. 13 en p. 25.</t>
        </is>
      </c>
      <c r="I43" s="4" t="inlineStr">
        <is>
          <t>HR 14 juni 2002, ECLI:NL:HR:2002:AE0657, NJ 2002/495 (Geldnet/Kwantum)</t>
        </is>
      </c>
      <c r="J43" s="4" t="inlineStr"/>
      <c r="K43" s="4" t="inlineStr"/>
    </row>
    <row r="44" ht="96" customHeight="1">
      <c r="A44" s="4" t="inlineStr">
        <is>
          <t>card_043</t>
        </is>
      </c>
      <c r="B44" s="4" t="inlineStr">
        <is>
          <t>05</t>
        </is>
      </c>
      <c r="C44" s="4" t="inlineStr">
        <is>
          <t>Kleuterschool Babbel (HR 6 april 1979)</t>
        </is>
      </c>
      <c r="D44" s="4" t="inlineStr">
        <is>
          <t>arrest</t>
        </is>
      </c>
      <c r="E44" s="4" t="inlineStr">
        <is>
          <t>Wanneer kan een onrechtmatige gedraging van een functionaris aan een rechtspersoon worden toegerekend buiten art. 6:170 BW om?</t>
        </is>
      </c>
      <c r="F44" s="4" t="inlineStr">
        <is>
          <t>Wanneer de gedraging in het maatschappelijk verkeer als een gedraging van de rechtspersoon zelf heeft te gelden. De orgaantheorie (art. 2:5 BW in combinatie met verkeersopvattingen) maakt de rechtspersoon dan rechtstreeks aansprakelijk uit 6:162 BW.</t>
        </is>
      </c>
      <c r="G44" s="4" t="inlineStr">
        <is>
          <t>Gedragingen van een bestuurder of functionaris kunnen in het maatschappelijk verkeer als gedragingen van de rechtspersoon worden aangemerkt, indien zij zijn verricht in de hoedanigheid van orgaan of werknemer van die rechtspersoon.</t>
        </is>
      </c>
      <c r="H44" s="4" t="inlineStr">
        <is>
          <t>Orgaantheorie: de rechtspersoon handelt zelf onrechtmatig, niet via afgeleide aansprakelijkheid. Fundamenteel voor bestuurdersaansprakelijkheid.</t>
        </is>
      </c>
      <c r="I44" s="4" t="inlineStr">
        <is>
          <t>HR 6 april 1979, NJ 1980/34 (Kleuterschool Babbel)</t>
        </is>
      </c>
      <c r="J44" s="4" t="inlineStr"/>
      <c r="K44" s="4" t="inlineStr"/>
    </row>
    <row r="45" ht="96" customHeight="1">
      <c r="A45" s="4" t="inlineStr">
        <is>
          <t>card_044</t>
        </is>
      </c>
      <c r="B45" s="4" t="inlineStr">
        <is>
          <t>05</t>
        </is>
      </c>
      <c r="C45" s="4" t="inlineStr">
        <is>
          <t>Laurus/Vomar (HR 16 maart 2007)</t>
        </is>
      </c>
      <c r="D45" s="4" t="inlineStr">
        <is>
          <t>arrest</t>
        </is>
      </c>
      <c r="E45" s="4" t="inlineStr">
        <is>
          <t>Kunnen gedragingen van een werknemer als gedragingen van de rechtspersoon worden toegerekend onder de orgaantheorie, zelfs als die werknemer geen bestuurder is?</t>
        </is>
      </c>
      <c r="F45" s="4"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G45" s="4"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H45" s="4" t="inlineStr">
        <is>
          <t>HR Laurus/Vomar, essentie; syllabus module 5 (Ondergeschikten), p. 51 en beknopte rechtsregel p. 14.</t>
        </is>
      </c>
      <c r="I45" s="4" t="inlineStr">
        <is>
          <t>HR 16 maart 2007, ECLI:NL:HR:2007:AZ6530, NJ 2007/232 (Laurus/Vomar)</t>
        </is>
      </c>
      <c r="J45" s="4" t="inlineStr"/>
      <c r="K45" s="4" t="inlineStr"/>
    </row>
    <row r="46" ht="96" customHeight="1">
      <c r="A46" s="4" t="inlineStr">
        <is>
          <t>card_045</t>
        </is>
      </c>
      <c r="B46" s="4" t="inlineStr">
        <is>
          <t>05</t>
        </is>
      </c>
      <c r="C46" s="4" t="inlineStr">
        <is>
          <t>Oosterparkrellen (HR 9 juli 2004)</t>
        </is>
      </c>
      <c r="D46" s="4" t="inlineStr">
        <is>
          <t>arrest</t>
        </is>
      </c>
      <c r="E46" s="4" t="inlineStr">
        <is>
          <t>Kan de politie (de Staat) onder art. 6:170 BW aansprakelijk zijn voor geweld gepleegd door politieambtenaren tijdens een optreden?</t>
        </is>
      </c>
      <c r="F46" s="4" t="inlineStr">
        <is>
          <t>Ja. De kans op de fout (onrechtmatig geweld) wordt vergroot door de opgedragen taak (optreden bij rellen), en de werkgever (Staat) heeft zeggenschap over de uitoefening van de politietaak. Aansprakelijkheid op grond van 6:170 BW in combinatie met 6:162 BW.</t>
        </is>
      </c>
      <c r="G46" s="4"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H46" s="4" t="inlineStr">
        <is>
          <t>HR Oosterparkrellen, essentie; syllabus module 5 (Ondergeschikten), p. 68.</t>
        </is>
      </c>
      <c r="I46" s="4" t="inlineStr">
        <is>
          <t>HR 9 juli 2004, ECLI:NL:HR:2004:AO7221, NJ 2005/391 (Oosterparkrellen)</t>
        </is>
      </c>
      <c r="J46" s="4" t="inlineStr"/>
      <c r="K46" s="4" t="inlineStr"/>
    </row>
    <row r="47" ht="96" customHeight="1">
      <c r="A47" s="4" t="inlineStr">
        <is>
          <t>card_046</t>
        </is>
      </c>
      <c r="B47" s="4" t="inlineStr">
        <is>
          <t>05</t>
        </is>
      </c>
      <c r="C47" s="4" t="inlineStr">
        <is>
          <t>Davelaar/Allspan (HR 23 maart 2012)</t>
        </is>
      </c>
      <c r="D47" s="4" t="inlineStr">
        <is>
          <t>arrest</t>
        </is>
      </c>
      <c r="E47" s="4" t="inlineStr">
        <is>
          <t>Valt een zzp'er onder het begrip 'ondergeschikte' in art. 6:170 BW of onder 'niet-ondergeschikte' in art. 6:171 BW?</t>
        </is>
      </c>
      <c r="F47" s="4"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G47" s="4"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H47" s="4" t="inlineStr">
        <is>
          <t>HR Davelaar/Allspan, rov.; syllabus module 5 (Ondergeschikten), p. 77.</t>
        </is>
      </c>
      <c r="I47" s="4" t="inlineStr">
        <is>
          <t>HR 23 maart 2012, ECLI:NL:HR:2012:BV0616, NJ 2014/414 (Davelaar/Allspan)</t>
        </is>
      </c>
      <c r="J47" s="4" t="inlineStr"/>
      <c r="K47" s="4" t="inlineStr"/>
    </row>
    <row r="48" ht="96" customHeight="1">
      <c r="A48" s="4" t="inlineStr">
        <is>
          <t>card_047</t>
        </is>
      </c>
      <c r="B48" s="4" t="inlineStr">
        <is>
          <t>05</t>
        </is>
      </c>
      <c r="C48" s="4" t="inlineStr">
        <is>
          <t>Art. 6:171 BW</t>
        </is>
      </c>
      <c r="D48" s="4" t="inlineStr">
        <is>
          <t>artikel</t>
        </is>
      </c>
      <c r="E48" s="4" t="inlineStr">
        <is>
          <t>Wanneer is de opdrachtgever aansprakelijk voor fouten van een niet-ondergeschikte op grond van art. 6:171 BW?</t>
        </is>
      </c>
      <c r="F48" s="4"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G48" s="4" t="inlineStr">
        <is>
          <t>Indien een niet ondergeschikte die in opdracht van een ander werkzaamheden ter uitoefening van diens bedrijf verricht, jegens een derde aansprakelijk is voor een bij die werkzaamheden begane fout, is ook die ander jegens de derde aansprakelijk.</t>
        </is>
      </c>
      <c r="H48" s="4" t="inlineStr">
        <is>
          <t>Complementair aan 6:170. Restrictief uitgelegd sinds Davelaar/Allspan: werkzaamheden moeten 'kenmerkend' voor bedrijf opdrachtgever zijn.</t>
        </is>
      </c>
      <c r="I48" s="4" t="inlineStr">
        <is>
          <t>Art. 6:171 BW</t>
        </is>
      </c>
      <c r="J48" s="4" t="inlineStr"/>
      <c r="K48" s="4" t="inlineStr"/>
    </row>
    <row r="49" ht="96" customHeight="1">
      <c r="A49" s="4" t="inlineStr">
        <is>
          <t>card_048</t>
        </is>
      </c>
      <c r="B49" s="4" t="inlineStr">
        <is>
          <t>05</t>
        </is>
      </c>
      <c r="C49" s="4" t="inlineStr">
        <is>
          <t>Art. 6:172 BW</t>
        </is>
      </c>
      <c r="D49" s="4" t="inlineStr">
        <is>
          <t>artikel</t>
        </is>
      </c>
      <c r="E49" s="4" t="inlineStr">
        <is>
          <t>Onder welke voorwaarden is een vertegenwoordigde aansprakelijk voor een onrechtmatige daad van zijn vertegenwoordiger op grond van art. 6:172 BW?</t>
        </is>
      </c>
      <c r="F49" s="4" t="inlineStr">
        <is>
          <t>Als de fout is begaan bij de uitoefening van een bevoegdheid die hem door de vertegenwoordigde is verleend, en de vertegenwoordiger als zodanig bij die gedraging heeft gehandeld. Risicoaansprakelijkheid van de vertegenwoordigde, ongeacht schuld.</t>
        </is>
      </c>
      <c r="G49" s="4" t="inlineStr">
        <is>
          <t>Indien een fout van een vertegenwoordiger bij de uitoefening van zijn bevoegdheid een derde wordt toegebracht, is de vertegenwoordigde voor die fout aansprakelijk.</t>
        </is>
      </c>
      <c r="H49" s="4" t="inlineStr">
        <is>
          <t>Minder bekende tegenhanger van 6:170/6:171 voor vertegenwoordigingssituaties buiten arbeids- of bedrijfsrelatie.</t>
        </is>
      </c>
      <c r="I49" s="4" t="inlineStr">
        <is>
          <t>Art. 6:172 BW</t>
        </is>
      </c>
      <c r="J49" s="4" t="inlineStr"/>
      <c r="K49" s="4" t="inlineStr"/>
    </row>
    <row r="50" ht="96" customHeight="1">
      <c r="A50" s="4" t="inlineStr">
        <is>
          <t>card_049</t>
        </is>
      </c>
      <c r="B50" s="4" t="inlineStr">
        <is>
          <t>05</t>
        </is>
      </c>
      <c r="C50" s="4" t="inlineStr">
        <is>
          <t>Logistics Solutions/TSM (HR 22 april 2022)</t>
        </is>
      </c>
      <c r="D50" s="4" t="inlineStr">
        <is>
          <t>arrest</t>
        </is>
      </c>
      <c r="E50" s="4" t="inlineStr">
        <is>
          <t>Hoe verhoudt art. 6:76 BW zich tot een contractuele exoneratie ten behoeve van de hulppersoon zelf (Derdenwerking)?</t>
        </is>
      </c>
      <c r="F50" s="4" t="inlineStr">
        <is>
          <t>De schuldenaar kan via art. 6:76 BW aansprakelijk worden gehouden voor gedragingen van de hulppersoon, ook als de hulppersoon zich jegens de schuldeiser op een exoneratie zou kunnen beroepen. De derdenwerking van exoneraties wordt restrictief uitgelegd.</t>
        </is>
      </c>
      <c r="G50" s="4"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H50" s="4" t="inlineStr">
        <is>
          <t>HR Logistics Solutions/TSM; syllabus module 5 (Ondergeschikten), NJ 2022/175. Let op: dit arrest betreft in hoofdzaak het grievenstelsel, niet 6:76.</t>
        </is>
      </c>
      <c r="I50" s="4" t="inlineStr">
        <is>
          <t>HR 22 april 2022, NJ 2022/175 (Logistics Solutions/TSM)</t>
        </is>
      </c>
      <c r="J50" s="4" t="inlineStr"/>
      <c r="K50" s="4" t="inlineStr"/>
    </row>
    <row r="51" ht="96" customHeight="1">
      <c r="A51" s="4" t="inlineStr">
        <is>
          <t>card_050</t>
        </is>
      </c>
      <c r="B51" s="4" t="inlineStr">
        <is>
          <t>05</t>
        </is>
      </c>
      <c r="C51" s="4" t="inlineStr">
        <is>
          <t>Rijpma/Groot (HR 2 december 2005)</t>
        </is>
      </c>
      <c r="D51" s="4" t="inlineStr">
        <is>
          <t>arrest</t>
        </is>
      </c>
      <c r="E51" s="4" t="inlineStr">
        <is>
          <t>Kan een beroepsbeoefenaar zijn aansprakelijkheid uit art. 6:76 BW beperken tot 'fouten van redelijk bekwame en redelijk handelende vakgenoten'?</t>
        </is>
      </c>
      <c r="F51" s="4"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G51" s="4"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H51" s="4" t="inlineStr">
        <is>
          <t>HR Rijpma/Groot, essentie; syllabus module 5 (Ondergeschikten), p. 27. Let op: arrest gaat over eigen schuld en reflexwerking van 6:76, niet over notarisaansprakelijkheid.</t>
        </is>
      </c>
      <c r="I51" s="4" t="inlineStr">
        <is>
          <t>HR 2 december 2005, ECLI:NL:HR:2005:AU5661, NJ 2006/444 (Rijpma/Groot)</t>
        </is>
      </c>
      <c r="J51" s="4" t="inlineStr"/>
      <c r="K51" s="4" t="inlineStr"/>
    </row>
    <row r="52" ht="96" customHeight="1">
      <c r="A52" s="4" t="inlineStr">
        <is>
          <t>card_051</t>
        </is>
      </c>
      <c r="B52" s="4" t="inlineStr">
        <is>
          <t>05</t>
        </is>
      </c>
      <c r="C52" s="4" t="inlineStr">
        <is>
          <t>Aquaphalt/Staat (HR 2 oktober 1998)</t>
        </is>
      </c>
      <c r="D52" s="4" t="inlineStr">
        <is>
          <t>arrest</t>
        </is>
      </c>
      <c r="E52" s="4" t="inlineStr">
        <is>
          <t>Is de Staat via art. 6:170 BW aansprakelijk voor schade veroorzaakt door ambtelijke inzet van een aannemer bij Rijkswerkzaamheden?</t>
        </is>
      </c>
      <c r="F52" s="4" t="inlineStr">
        <is>
          <t>Ja, mits sprake is van zodanige feitelijke zeggenschap dat materiële ondergeschiktheid kan worden aangenomen. Is er geen materieel gezag (de aannemer werkt zelfstandig), dan is 6:171 BW de aangewezen grondslag.</t>
        </is>
      </c>
      <c r="G52" s="4"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H52" s="4" t="inlineStr">
        <is>
          <t>HR Aquaphalt/Staat, samenvatting; syllabus module 5 (Ondergeschikten), p. 62.</t>
        </is>
      </c>
      <c r="I52" s="4" t="inlineStr">
        <is>
          <t>HR 2 oktober 1998, NJ 1998/852 (Aquaphalt/Staat)</t>
        </is>
      </c>
      <c r="J52" s="4" t="inlineStr"/>
      <c r="K52" s="4" t="inlineStr"/>
    </row>
    <row r="53" ht="96" customHeight="1">
      <c r="A53" s="4" t="inlineStr">
        <is>
          <t>card_052</t>
        </is>
      </c>
      <c r="B53" s="4" t="inlineStr">
        <is>
          <t>05</t>
        </is>
      </c>
      <c r="C53" s="4" t="inlineStr">
        <is>
          <t>ControlPay/ABN-AMRO (HR 15 juli 2022)</t>
        </is>
      </c>
      <c r="D53" s="4" t="inlineStr">
        <is>
          <t>arrest</t>
        </is>
      </c>
      <c r="E53" s="4" t="inlineStr">
        <is>
          <t>Welk aspect van hulppersoonsaansprakelijkheid werkt HR ControlPay/ABN-AMRO uit?</t>
        </is>
      </c>
      <c r="F53" s="4" t="inlineStr">
        <is>
          <t>Dat art. 6:76 BW ook geldt bij uitbesteding van bancaire deelprocessen (zoals payrolling): ABN-AMRO blijft jegens haar wederpartij aansprakelijk voor fouten van de ingeschakelde derde, ondanks de feitelijke uitvoering door ControlPay.</t>
        </is>
      </c>
      <c r="G53" s="4"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H53" s="4" t="inlineStr">
        <is>
          <t>HR ControlPay/ABN-AMRO, rov. (hof-oordeel waartegen cassatie faalde); syllabus module 5 (Ondergeschikten), p. 84-85.</t>
        </is>
      </c>
      <c r="I53" s="4" t="inlineStr">
        <is>
          <t>HR 15 juli 2022, RvdW 2022/756 (ControlPay/ABN-AMRO)</t>
        </is>
      </c>
      <c r="J53" s="4" t="inlineStr"/>
      <c r="K53" s="4" t="inlineStr"/>
    </row>
    <row r="54" ht="96" customHeight="1">
      <c r="A54" s="4" t="inlineStr">
        <is>
          <t>card_053</t>
        </is>
      </c>
      <c r="B54" s="4" t="inlineStr">
        <is>
          <t>05</t>
        </is>
      </c>
      <c r="C54" s="4" t="inlineStr">
        <is>
          <t>MV/Zürich (HR 14 juli 2017)</t>
        </is>
      </c>
      <c r="D54" s="4" t="inlineStr">
        <is>
          <t>arrest</t>
        </is>
      </c>
      <c r="E54" s="4" t="inlineStr">
        <is>
          <t>Geldt de AVB-dekking van een werkgever ook voor schade die een werknemer aan zijn collega toebrengt?</t>
        </is>
      </c>
      <c r="F54" s="4" t="inlineStr">
        <is>
          <t>Ja, de AVB van de werkgever dekt in beginsel mede de aansprakelijkheid van een werknemer jegens een andere werknemer (zogenaamde 'werkgeversaansprakelijkheid voor fouten van werknemers'), tenzij de polis expliciet anders bepaalt.</t>
        </is>
      </c>
      <c r="G54" s="4"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H54" s="4" t="inlineStr">
        <is>
          <t>HR Spoorveiligheid/Zürich (JMV/Zürich), beknopte rechtsregel; syllabus module 5 (Ondergeschikten), p. 15.</t>
        </is>
      </c>
      <c r="I54" s="4" t="inlineStr">
        <is>
          <t>HR 14 juli 2017, NJ 2017/467 (MV/Zürich)</t>
        </is>
      </c>
      <c r="J54" s="4" t="inlineStr"/>
      <c r="K54" s="4" t="inlineStr"/>
    </row>
    <row r="55" ht="96" customHeight="1">
      <c r="A55" s="4" t="inlineStr">
        <is>
          <t>card_054</t>
        </is>
      </c>
      <c r="B55" s="4" t="inlineStr">
        <is>
          <t>05</t>
        </is>
      </c>
      <c r="C55" s="4" t="inlineStr">
        <is>
          <t>Beckers/Dexia (Hof Den Bosch 10 juni 2014 / HR 2 september 2016)</t>
        </is>
      </c>
      <c r="D55" s="4" t="inlineStr">
        <is>
          <t>arrest</t>
        </is>
      </c>
      <c r="E55" s="4" t="inlineStr">
        <is>
          <t>Welke rol speelt de 'zaakbehartigende' tussenpersoon bij aansprakelijkheid voor verkopers van effectenleaseproducten?</t>
        </is>
      </c>
      <c r="F55" s="4" t="inlineStr">
        <is>
          <t>De bank (Dexia) blijft jegens de afnemer aansprakelijk voor fouten van tussenpersonen die als hulppersoon bij het afsluiten van de overeenkomst zijn ingezet. De tussenpersoon wordt geacht te hebben gehandeld op grond van art. 6:76 BW.</t>
        </is>
      </c>
      <c r="G55" s="4"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H55" s="4" t="inlineStr">
        <is>
          <t>HR Beckers/Dexia, beknopte rechtsregel zoals in syllabus module 5 (Ondergeschikten), p. 14 en p. 21.</t>
        </is>
      </c>
      <c r="I55" s="4" t="inlineStr">
        <is>
          <t>HR 2 september 2016, ECLI:NL:HR:2016:2012, NJ 2017/9 (Beckers/Dexia)</t>
        </is>
      </c>
      <c r="J55" s="4" t="inlineStr"/>
      <c r="K55" s="4" t="inlineStr"/>
    </row>
    <row r="56" ht="96" customHeight="1">
      <c r="A56" s="4" t="inlineStr">
        <is>
          <t>card_055</t>
        </is>
      </c>
      <c r="B56" s="4" t="inlineStr">
        <is>
          <t>05</t>
        </is>
      </c>
      <c r="C56" s="4" t="inlineStr">
        <is>
          <t>Gelderland/Vitesse (HR 25 juni 2010)</t>
        </is>
      </c>
      <c r="D56" s="4" t="inlineStr">
        <is>
          <t>arrest</t>
        </is>
      </c>
      <c r="E56" s="4" t="inlineStr">
        <is>
          <t>Kan kennis van een bestuurder aan de rechtspersoon worden toegerekend bij beoordeling van onrechtmatig handelen?</t>
        </is>
      </c>
      <c r="F56" s="4" t="inlineStr">
        <is>
          <t>Ja, kennis van een bestuurder of leidinggevend functionaris kan in het maatschappelijk verkeer aan de rechtspersoon worden toegerekend, mits die kennis in de hoedanigheid van orgaan of werknemer is opgedaan en relevant is voor de onrechtmatige gedraging.</t>
        </is>
      </c>
      <c r="G56" s="4"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H56" s="4" t="inlineStr">
        <is>
          <t>HR Gelderland/Vitesse, beknopte rechtsregel; syllabus module 5 (Ondergeschikten), p. 14.</t>
        </is>
      </c>
      <c r="I56" s="4" t="inlineStr">
        <is>
          <t>HR 25 juni 2010, ECLI:NL:HR:2010:BL5420, NJ 2010/371 (Gelderland/Vitesse)</t>
        </is>
      </c>
      <c r="J56" s="4" t="inlineStr"/>
      <c r="K56" s="4" t="inlineStr"/>
    </row>
    <row r="57" ht="96" customHeight="1">
      <c r="A57" s="4" t="inlineStr">
        <is>
          <t>card_056</t>
        </is>
      </c>
      <c r="B57" s="4" t="inlineStr">
        <is>
          <t>05</t>
        </is>
      </c>
      <c r="C57" s="4" t="inlineStr">
        <is>
          <t>Van Bentum/Bos q.q. (HR 10 januari 2003)</t>
        </is>
      </c>
      <c r="D57" s="4" t="inlineStr">
        <is>
          <t>arrest</t>
        </is>
      </c>
      <c r="E57" s="4" t="inlineStr">
        <is>
          <t>Hoe werkt art. 6:170 BW door in een faillissement van de ondergeschikte?</t>
        </is>
      </c>
      <c r="F57" s="4" t="inlineStr">
        <is>
          <t>De aansprakelijkheid van de werkgever op grond van 6:170 BW blijft bestaan ook als de ondergeschikte failliet is. De benadeelde kan zich rechtstreeks tot de werkgever wenden; de curator hoeft niet bij de vordering betrokken te worden.</t>
        </is>
      </c>
      <c r="G57" s="4" t="inlineStr">
        <is>
          <t>Curator oefent zijn taak uit onder toezicht van de rechter-commissaris. Omdat hij via zijn BV gedetacheerd is bij de advocaten B.V. is deze noch uit art. 6:170 BW, noch art. 6:171 BW aansprakelijk.</t>
        </is>
      </c>
      <c r="H57" s="4" t="inlineStr">
        <is>
          <t>HR Van Bentum/Bos q.q. (Coöperatie Beatrix/Procall), beknopte rechtsregel; syllabus module 5 (Ondergeschikten), p. 14. Let op: arrest gaat over de curator, niet over faillissement van de ondergeschikte.</t>
        </is>
      </c>
      <c r="I57" s="4" t="inlineStr">
        <is>
          <t>HR 10 januari 2003, ECLI:NL:HR:2003:AF0692, NJ 2003/196 (Van Bentum/Bos q.q.)</t>
        </is>
      </c>
      <c r="J57" s="4" t="inlineStr"/>
      <c r="K57" s="4" t="inlineStr"/>
    </row>
    <row r="58" ht="96" customHeight="1">
      <c r="A58" s="4" t="inlineStr">
        <is>
          <t>card_057</t>
        </is>
      </c>
      <c r="B58" s="4" t="inlineStr">
        <is>
          <t>05</t>
        </is>
      </c>
      <c r="C58" s="4" t="inlineStr">
        <is>
          <t>Groot Kievitsdal (HR 9 november 2007)</t>
        </is>
      </c>
      <c r="D58" s="4" t="inlineStr">
        <is>
          <t>arrest</t>
        </is>
      </c>
      <c r="E58" s="4" t="inlineStr">
        <is>
          <t>Hoe wordt de 'ondergeschiktheid' in art. 6:170 BW beoordeeld bij horeca- en dienstverleningscontexten?</t>
        </is>
      </c>
      <c r="F58" s="4"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G58" s="4"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H58" s="4" t="inlineStr">
        <is>
          <t>HR Groot Kievitsdal; syllabus module 5 (Ondergeschikten), p. 19-20.</t>
        </is>
      </c>
      <c r="I58" s="4" t="inlineStr">
        <is>
          <t>HR 9 november 2007, ECLI:NL:HR:2007:BA7557, NJ 2007/658 (Groot Kievitsdal)</t>
        </is>
      </c>
      <c r="J58" s="4" t="inlineStr"/>
      <c r="K58" s="4" t="inlineStr"/>
    </row>
    <row r="59" ht="96" customHeight="1">
      <c r="A59" s="4" t="inlineStr">
        <is>
          <t>card_058</t>
        </is>
      </c>
      <c r="B59" s="4" t="inlineStr">
        <is>
          <t>05</t>
        </is>
      </c>
      <c r="C59" s="4" t="inlineStr">
        <is>
          <t>Nationale-Nederlanden/'t Witte Paerdje (HR 10 oktober 2003)</t>
        </is>
      </c>
      <c r="D59" s="4" t="inlineStr">
        <is>
          <t>arrest</t>
        </is>
      </c>
      <c r="E59" s="4" t="inlineStr">
        <is>
          <t>Is een hotelexploitant onder art. 6:76 BW aansprakelijk voor brand veroorzaakt door een door hem ingeschakelde schoonmaker?</t>
        </is>
      </c>
      <c r="F59" s="4" t="inlineStr">
        <is>
          <t>Ja. Een schoonmaker die werkzaamheden verricht ter uitvoering van de verbintenis van de hotelier jegens gasten (veilige accommodatie) kwalificeert als hulppersoon in de zin van art. 6:76 BW. De hotelier is voor diens brandveroorzakend handelen aansprakelijk.</t>
        </is>
      </c>
      <c r="G59" s="4" t="inlineStr">
        <is>
          <t>Voor toerekening van gedragingen van hulppersonen moet eerst komen vast te staan dat de aangesproken partij schuldenaar van de verbintenis was, die niet zou zijn nagekomen.</t>
        </is>
      </c>
      <c r="H59" s="4" t="inlineStr">
        <is>
          <t>HR Nationale-Nederlanden/'t Witte Paerdje, beknopte rechtsregel; syllabus module 5 (Ondergeschikten), p. 13.</t>
        </is>
      </c>
      <c r="I59" s="4" t="inlineStr">
        <is>
          <t>HR 10 oktober 2003, ECLI:NL:HR:2003:AI0828, NJ 2005/89 (Nationale-Nederlanden/'t Witte Paerdje)</t>
        </is>
      </c>
      <c r="J59" s="4" t="inlineStr"/>
      <c r="K59" s="4" t="inlineStr"/>
    </row>
    <row r="60" ht="96" customHeight="1">
      <c r="A60" s="4" t="inlineStr">
        <is>
          <t>card_059</t>
        </is>
      </c>
      <c r="B60" s="4" t="inlineStr">
        <is>
          <t>05</t>
        </is>
      </c>
      <c r="C60" s="4" t="inlineStr">
        <is>
          <t>Syllabus De Vries, inleiding</t>
        </is>
      </c>
      <c r="D60" s="4" t="inlineStr">
        <is>
          <t>leerstuk</t>
        </is>
      </c>
      <c r="E60" s="4" t="inlineStr">
        <is>
          <t>Wat is het verschil in grondslag tussen art. 6:76 BW en art. 6:170 BW?</t>
        </is>
      </c>
      <c r="F60" s="4"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G60" s="4" t="inlineStr">
        <is>
          <t>Art. 6:76 BW: schuldenaar tegenover wederpartij — contractueel. Art. 6:170 BW: werkgever tegenover derde — buitencontractueel, maar schuldenaar en wederpartij kunnen samenvallen (bv. arbeidsongeval van derde).</t>
        </is>
      </c>
      <c r="H60" s="4" t="inlineStr">
        <is>
          <t>Belangrijk om de juiste grondslag te kiezen: contractuele verhouding leidt primair naar 6:76, buitencontractuele schade via 6:170 of 6:171.</t>
        </is>
      </c>
      <c r="I60" s="4" t="inlineStr">
        <is>
          <t>Art. 6:76 en 6:170 BW; Asser/Hartkamp &amp; Sieburgh 6-IV, hoofdstuk 6</t>
        </is>
      </c>
      <c r="J60" s="4" t="inlineStr"/>
      <c r="K60" s="4" t="inlineStr"/>
    </row>
  </sheetData>
  <dataValidations count="1">
    <dataValidation sqref="J2:J60" showDropDown="0" showInputMessage="0" showErrorMessage="0" allowBlank="1" errorTitle="Ongeldige keuze" error="Kies uit de lijst" promptTitle="Oordeel kaart" prompt="Kies: behouden, aanpassen of verwijderen" type="list">
      <formula1>"behouden,aanpassen,verwijderen"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6" customWidth="1" min="1" max="1"/>
    <col width="16" customWidth="1" min="2" max="2"/>
  </cols>
  <sheetData>
    <row r="1">
      <c r="A1" s="5" t="inlineStr">
        <is>
          <t>Overzicht review</t>
        </is>
      </c>
    </row>
    <row r="3">
      <c r="A3" s="6" t="inlineStr">
        <is>
          <t>Totaal aantal kaarten</t>
        </is>
      </c>
      <c r="B3" s="7">
        <f>COUNTA('Kaarten review'!A2:A60)</f>
        <v/>
      </c>
    </row>
    <row r="4">
      <c r="A4" s="6" t="inlineStr">
        <is>
          <t>Kaarten module 01</t>
        </is>
      </c>
      <c r="B4" s="7">
        <f>COUNTIFS('Kaarten review'!B2:B60,"01")</f>
        <v/>
      </c>
    </row>
    <row r="5">
      <c r="A5" s="6" t="inlineStr">
        <is>
          <t>Kaarten module 02</t>
        </is>
      </c>
      <c r="B5" s="7">
        <f>COUNTIFS('Kaarten review'!B2:B60,"02")</f>
        <v/>
      </c>
    </row>
    <row r="6">
      <c r="A6" s="6" t="inlineStr">
        <is>
          <t>Kaarten module 05</t>
        </is>
      </c>
      <c r="B6" s="7">
        <f>COUNTIFS('Kaarten review'!B2:B60,"05")</f>
        <v/>
      </c>
    </row>
    <row r="7">
      <c r="A7" s="7" t="inlineStr"/>
      <c r="B7" s="7" t="inlineStr"/>
    </row>
    <row r="8">
      <c r="A8" s="6" t="inlineStr">
        <is>
          <t>Oordeel: behouden</t>
        </is>
      </c>
      <c r="B8" s="7">
        <f>COUNTIF('Kaarten review'!J2:J60,"behouden")</f>
        <v/>
      </c>
    </row>
    <row r="9">
      <c r="A9" s="6" t="inlineStr">
        <is>
          <t>Oordeel: aanpassen</t>
        </is>
      </c>
      <c r="B9" s="7">
        <f>COUNTIF('Kaarten review'!J2:J60,"aanpassen")</f>
        <v/>
      </c>
    </row>
    <row r="10">
      <c r="A10" s="6" t="inlineStr">
        <is>
          <t>Oordeel: verwijderen</t>
        </is>
      </c>
      <c r="B10" s="7">
        <f>COUNTIF('Kaarten review'!J2:J60,"verwijderen")</f>
        <v/>
      </c>
    </row>
    <row r="11">
      <c r="A11" s="6" t="inlineStr">
        <is>
          <t>Oordeel nog leeg</t>
        </is>
      </c>
      <c r="B11" s="7">
        <f>COUNTBLANK('Kaarten review'!J2:J60)</f>
        <v/>
      </c>
    </row>
    <row r="12">
      <c r="A12" s="7" t="inlineStr"/>
      <c r="B12" s="7" t="inlineStr"/>
    </row>
    <row r="13">
      <c r="A13" s="6" t="inlineStr">
        <is>
          <t>Module 01 – behouden</t>
        </is>
      </c>
      <c r="B13" s="7">
        <f>COUNTIFS('Kaarten review'!B2:B60,"01",'Kaarten review'!J2:J60,"behouden")</f>
        <v/>
      </c>
    </row>
    <row r="14">
      <c r="A14" s="6" t="inlineStr">
        <is>
          <t>Module 01 – aanpassen</t>
        </is>
      </c>
      <c r="B14" s="7">
        <f>COUNTIFS('Kaarten review'!B2:B60,"01",'Kaarten review'!J2:J60,"aanpassen")</f>
        <v/>
      </c>
    </row>
    <row r="15">
      <c r="A15" s="6" t="inlineStr">
        <is>
          <t>Module 01 – verwijderen</t>
        </is>
      </c>
      <c r="B15" s="7">
        <f>COUNTIFS('Kaarten review'!B2:B60,"01",'Kaarten review'!J2:J60,"verwijderen")</f>
        <v/>
      </c>
    </row>
    <row r="16">
      <c r="A16" s="6" t="inlineStr">
        <is>
          <t>Module 02 – behouden</t>
        </is>
      </c>
      <c r="B16" s="7">
        <f>COUNTIFS('Kaarten review'!B2:B60,"02",'Kaarten review'!J2:J60,"behouden")</f>
        <v/>
      </c>
    </row>
    <row r="17">
      <c r="A17" s="6" t="inlineStr">
        <is>
          <t>Module 02 – aanpassen</t>
        </is>
      </c>
      <c r="B17" s="7">
        <f>COUNTIFS('Kaarten review'!B2:B60,"02",'Kaarten review'!J2:J60,"aanpassen")</f>
        <v/>
      </c>
    </row>
    <row r="18">
      <c r="A18" s="6" t="inlineStr">
        <is>
          <t>Module 02 – verwijderen</t>
        </is>
      </c>
      <c r="B18" s="7">
        <f>COUNTIFS('Kaarten review'!B2:B60,"02",'Kaarten review'!J2:J60,"verwijderen")</f>
        <v/>
      </c>
    </row>
    <row r="19">
      <c r="A19" s="6" t="inlineStr">
        <is>
          <t>Module 05 – behouden</t>
        </is>
      </c>
      <c r="B19" s="7">
        <f>COUNTIFS('Kaarten review'!B2:B60,"05",'Kaarten review'!J2:J60,"behouden")</f>
        <v/>
      </c>
    </row>
    <row r="20">
      <c r="A20" s="6" t="inlineStr">
        <is>
          <t>Module 05 – aanpassen</t>
        </is>
      </c>
      <c r="B20" s="7">
        <f>COUNTIFS('Kaarten review'!B2:B60,"05",'Kaarten review'!J2:J60,"aanpassen")</f>
        <v/>
      </c>
    </row>
    <row r="21">
      <c r="A21" s="6" t="inlineStr">
        <is>
          <t>Module 05 – verwijderen</t>
        </is>
      </c>
      <c r="B21" s="7">
        <f>COUNTIFS('Kaarten review'!B2:B60,"05",'Kaarten review'!J2:J60,"verwijderen")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2026-04-19T12:32:06Z</dcterms:created>
  <dcterms:modified xmlns:dcterms="http://purl.org/dc/terms/" xmlns:xsi="http://www.w3.org/2001/XMLSchema-instance" xsi:type="dcterms:W3CDTF">2026-04-19T12:32:06Z</dcterms:modified>
</cp:coreProperties>
</file>