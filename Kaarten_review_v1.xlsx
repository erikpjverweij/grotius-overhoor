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arten review" sheetId="1" state="visible" r:id="rId3"/>
    <sheet name="Samenvatt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<sst xmlns="http://schemas.openxmlformats.org/spreadsheetml/2006/main" count="492" uniqueCount="295">
  <si>
    <t xml:space="preserve">#</t>
  </si>
  <si>
    <t xml:space="preserve">Module</t>
  </si>
  <si>
    <t xml:space="preserve">Onderwerp</t>
  </si>
  <si>
    <t xml:space="preserve">Type</t>
  </si>
  <si>
    <t xml:space="preserve">Bron</t>
  </si>
  <si>
    <t xml:space="preserve">Vraag</t>
  </si>
  <si>
    <t xml:space="preserve">Antwoord</t>
  </si>
  <si>
    <t xml:space="preserve">Citaat</t>
  </si>
  <si>
    <t xml:space="preserve">Vindplaats</t>
  </si>
  <si>
    <t xml:space="preserve">Oordeel</t>
  </si>
  <si>
    <t xml:space="preserve">Opmerking</t>
  </si>
  <si>
    <t xml:space="preserve">01</t>
  </si>
  <si>
    <t xml:space="preserve">Algemene inleiding aansprakelijkheidsrecht</t>
  </si>
  <si>
    <t xml:space="preserve">arrest</t>
  </si>
  <si>
    <t xml:space="preserve">Groningenveld (HR 19 juli 2019)</t>
  </si>
  <si>
    <t xml:space="preserve">Kan een benadeelde zijn vordering uit hoofde van mijnbouwschade óók op art. 6:162 BW baseren, terwijl er een risicoaansprakelijkheid op grond van art. 6:177 BW beschikbaar is?</t>
  </si>
  <si>
    <t xml:space="preserve">Ja. Ondanks de ruime toerekening die plaatsvindt bij aansprakelijkheid op grond van art. 6:177 BW, kan de vordering (ook) op grond van art. 6:162 BW worden beoordeeld wanneer dat voor de benadeelde tot een gunstiger resultaat leidt. De twee grondslagen sluiten elkaar niet uit.</t>
  </si>
  <si>
    <t xml:space="preserve">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</si>
  <si>
    <t xml:space="preserve">HR 19 juli 2019, ECLI:NL:HR:2019:1278, NJ 2020/391 (Groningenveld)</t>
  </si>
  <si>
    <t xml:space="preserve">Moet EBN B.V. naast NAM worden aangemerkt als exploitant in de zin van art. 6:177 lid 2 BW?</t>
  </si>
  <si>
    <t xml:space="preserve">Ja. EBN, waarvan de Staat enig aandeelhouder is, moet naast NAM als exploitant in de zin van art. 6:177 lid 2 BW worden aangemerkt omdat EBN via de Maatschap Groningen het economische belang bij de gaswinning deelt.</t>
  </si>
  <si>
    <t xml:space="preserve">EBN, waarvan de Staat enig aandeelhouder is, moet in het onderhavige geval — naast NAM — als exploitant in de zin van art. 6:177 lid 2 BW worden aangemerkt.</t>
  </si>
  <si>
    <t xml:space="preserve">Hoe kan de exploitant het bewijsvermoeden van art. 6:177a lid 1 BW met succes weerleggen?</t>
  </si>
  <si>
    <t xml:space="preserve">De exploitant weerlegt het vermoeden alleen dan met succes als hij erin slaagt te bewijzen — waaronder is begrepen voldoende aannemelijk te maken — dat de schade niet is veroorzaakt door de aanleg of de exploitatie van het mijnbouwwerk.</t>
  </si>
  <si>
    <t xml:space="preserve">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</si>
  <si>
    <t xml:space="preserve">Hoe werkt de persoonlijke predispositie van de benadeelde door in de schadevergoeding bij aansprakelijkheid op grond van art. 6:177 BW?</t>
  </si>
  <si>
    <t xml:space="preserve">Schade die (mede) is ontstaan of verergerd door een persoonlijke predispositie moet in beginsel ook op grond van art. 6:98 BW aan de exploitant worden toegerekend. Voor toepassing van art. 6:101 BW (eigen schuld) is slechts onder bijzondere omstandigheden plaats.</t>
  </si>
  <si>
    <t xml:space="preserve">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</si>
  <si>
    <t xml:space="preserve">Levert de enkele omstandigheid dat een onroerende zaak niet bestand is tegen bodembeweging een bijzondere kwetsbaarheid op die kan leiden tot vermindering van de schadevergoeding?</t>
  </si>
  <si>
    <t xml:space="preserve">Nee. De enkele omstandigheid dat een onroerende zaak niet bestand is tegen bodembeweging vormt geen bijzondere kwetsbaarheid die tot vermindering van de schadevergoeding kan leiden, noch op grond van art. 6:98 BW, noch op grond van art. 6:101 BW.</t>
  </si>
  <si>
    <t xml:space="preserve">De enkele omstandigheid dat een onroerende zaak niet bestand is tegen bodembeweging vormt geen bijzondere kwetsbaarheid van die zaak die tot een vermindering van de omvang van de verplichting tot schadevergoeding kan leiden.</t>
  </si>
  <si>
    <t xml:space="preserve">leerstuk</t>
  </si>
  <si>
    <t xml:space="preserve">Is gederfd woongenot vermogensschade of immateriële schade?</t>
  </si>
  <si>
    <t xml:space="preserve">Gederfd woongenot is vermogensschade; daarop kan de bewoner aanspraak maken. De schatting op de voet van art. 6:97 BW gebeurt aan de hand van de door de Hoge Raad in Groningenveld opgestelde richtlijnen.</t>
  </si>
  <si>
    <t xml:space="preserve">Indien door (het risico op) bodembeweging het woongenot wordt aangetast, is het daardoor gederfde woongenot vermogensschade op vergoeding waarvan een bewoner aanspraak kan maken.</t>
  </si>
  <si>
    <t xml:space="preserve">Wanneer kan 'een aantasting in de persoon op andere wijze' ex art. 6:106 onder b BW worden aangenomen zonder dat geestelijk letsel is vastgesteld?</t>
  </si>
  <si>
    <t xml:space="preserve">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</si>
  <si>
    <t xml:space="preserve">Van een aantasting in de persoon op andere wijze als bedoeld in art. 6:106 lid 1, onder b, BW, is niet reeds sprake bij de enkele schending van een fundamenteel recht.</t>
  </si>
  <si>
    <t xml:space="preserve">Staat de formele rechtskracht van instemmingsbesluiten met winningsplannen in de weg aan aansprakelijkheid van de Staat voor aardbevingsschade?</t>
  </si>
  <si>
    <t xml:space="preserve">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</si>
  <si>
    <t xml:space="preserve">De formele rechtskracht van instemmingsbesluiten in zaken als de onderhavige staat niet in de weg aan aansprakelijkheid van de Staat.</t>
  </si>
  <si>
    <t xml:space="preserve">Vivat/ATF (HR 10 januari 2020)</t>
  </si>
  <si>
    <t xml:space="preserve">Wanneer is de omkeringsregel van toepassing bij schending van een veiligheidsnorm die een specifiek gevaar wil voorkomen?</t>
  </si>
  <si>
    <t xml:space="preserve">Als een norm specifiek strekt ter bescherming tegen een bepaald gevaar en dat gevaar zich heeft verwezenlijkt, moet de rechter bij onzekerheid over het condicio-sine-qua-non-verband tussen normschending en schade de omkeringsregel toepassen.</t>
  </si>
  <si>
    <t xml:space="preserve">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</si>
  <si>
    <t xml:space="preserve">HR 10 januari 2020, ECLI:NL:HR:2020:47, NJ 2020/45 (Vivat/ATF)</t>
  </si>
  <si>
    <t xml:space="preserve">Afzinkkelder (HR 12 januari 2024)</t>
  </si>
  <si>
    <t xml:space="preserve">Hoe beoordeelt de Hoge Raad de aansprakelijkheid van een opdrachtnemer bij bouwwerkzaamheden die schade aan het belendend perceel veroorzaken?</t>
  </si>
  <si>
    <t xml:space="preserve">De opdrachtnemer moet bij werkzaamheden die door hun aard risico op schade aan belendende percelen meebrengen (zoals het afzinken van een kelder) grote zorgvuldigheid betrachten en onderzoeken welke voorzorgsmaatregelen nodig zijn; een hoge onderzoeks- en waarschuwingsplicht geldt.</t>
  </si>
  <si>
    <t xml:space="preserve">[Afzinkkelder: verscherpte onderzoeks- en waarschuwingsplicht bij bouwwerken met risico op schade aan belendend perceel.]</t>
  </si>
  <si>
    <t xml:space="preserve">HR 12 januari 2024, ECLI:NL:HR:2024:17 (Afzinkkelder)</t>
  </si>
  <si>
    <t xml:space="preserve">MD/Shell (Hof Den Haag 12 november 2024)</t>
  </si>
  <si>
    <t xml:space="preserve">Kan de burgerlijke rechter Shell verplichten tot een specifieke CO2-reductie van 45% in 2030?</t>
  </si>
  <si>
    <t xml:space="preserve">Nee. Het hof oordeelt dat er weliswaar een verplichting op Shell rust om gevaarlijke klimaatverandering tegen te gaan, maar de burgerlijke rechter kan niet vaststellen dat Shell haar CO2-emissies met 45% (of enig ander percentage) moet verminderen.</t>
  </si>
  <si>
    <t xml:space="preserve">Het hof heeft aan de hand van objectieve aanknopingspunten vastgesteld dat er een verplichting op Shell rust om gevaarlijke klimaatverandering tegen te gaan. Dit betekent echter niet dat de burgerlijke rechter kan vaststellen dat Shell haar CO2-emissies met 45% moet verminderen.</t>
  </si>
  <si>
    <t xml:space="preserve">Hof Den Haag 12 november 2024, ECLI:NL:GHDHA:2024:2099 (Milieudefensie/Shell)</t>
  </si>
  <si>
    <t xml:space="preserve">Wat kan meer van Shell worden verwacht dan van andere ondernemingen als het gaat om klimaatverandering?</t>
  </si>
  <si>
    <t xml:space="preserve">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</si>
  <si>
    <t xml:space="preserve">Van Shell kan meer worden verwacht dan van de meeste andere ondernemingen […] als het gaat om het tegengaan van gevaarlijke klimaatverandering.</t>
  </si>
  <si>
    <t xml:space="preserve">Ford Italia v ZP (HvJ EU 19 december 2024)</t>
  </si>
  <si>
    <t xml:space="preserve">Wanneer is een distributeur van een product aan te merken als 'schijnbare producent' onder de Europese productaansprakelijkheidsrichtlijn?</t>
  </si>
  <si>
    <t xml:space="preserve">Een distributeur die door het aanbrengen van zijn naam, merk of ander onderscheidend teken op het product de indruk wekt de producent te zijn, kwalificeert als schijnbare producent (apparent producer) en is hoofdelijk aansprakelijk voor gebrekkige producten.</t>
  </si>
  <si>
    <t xml:space="preserve">[Ford Italia: een distributeur die zijn naam of merk op een product aanbrengt, wordt als producent aangemerkt in de zin van de productaansprakelijkheidsrichtlijn.]</t>
  </si>
  <si>
    <t xml:space="preserve">HvJ EU 19 december 2024, C-157/23 (Ford Italia v ZP)</t>
  </si>
  <si>
    <t xml:space="preserve">artikel</t>
  </si>
  <si>
    <t xml:space="preserve">Van Dam, 'Taxus revisited' (MvV 2015/7-8)</t>
  </si>
  <si>
    <t xml:space="preserve">Hoe wordt het kennisvereiste bij onrechtmatige daad primair geobjectiveerd?</t>
  </si>
  <si>
    <t xml:space="preserve">Door toerekening: het is voldoende als iemand met het risico bekend behoort te zijn. Wat een deelnemer aan het maatschappelijk verkeer behoort te weten wordt bepaald door een objectief vergelijkingstype dat varieert met zijn rol (arts, advocaat, surfer, producent).</t>
  </si>
  <si>
    <t xml:space="preserve">Toerekening van kennis is de meest gebruikelijke manier om gebrek aan kennis te corrigeren. Dit gebeurt door kennis objectief te toetsen: het is voldoende als iemand bekend behoort te zijn met het risico.</t>
  </si>
  <si>
    <t xml:space="preserve">C.C. van Dam, 'Taxus revisited. Een kleine taxonomie van het kennisvereiste', MvV 2015/7-8, p. 229-234</t>
  </si>
  <si>
    <t xml:space="preserve">Worden risico's van algemene bekendheid (zoals dat arsenicum giftig is) altijd aan de gedaagde toegerekend, ongeacht zijn rol?</t>
  </si>
  <si>
    <t xml:space="preserve">Ja. Risico's van algemene bekendheid worden iemand steeds toegerekend, ongeacht zijn rol in het maatschappelijk verkeer. Een beroep op onwetendheid baat niet, want dergelijke risico's behoren iedere volwassen deelnemer aan het maatschappelijk verkeer bekend te zijn.</t>
  </si>
  <si>
    <t xml:space="preserve">Risico's van algemene bekendheid worden iemand steeds toegerekend, ongeacht zijn rol in het maatschappelijk verkeer.</t>
  </si>
  <si>
    <t xml:space="preserve">Wanneer bestaat er naast algemeen bekend risicobewustzijn een onderzoeksplicht naar een concreet risico?</t>
  </si>
  <si>
    <t xml:space="preserve">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</si>
  <si>
    <t xml:space="preserve">De omvang van deze onderzoeksplicht wordt bepaald door de omvang van het risico enerzijds en de bezwaarlijkheid van het doen van onderzoek anderzijds. Hoe groter het risico, des te meer onderzoek kan worden gevergd.</t>
  </si>
  <si>
    <t xml:space="preserve">Van Dam, 'Doorbraak moedervennootschappen' (2021)</t>
  </si>
  <si>
    <t xml:space="preserve">Onder welke omstandigheden kan een moedervennootschap rechtstreeks aansprakelijk worden gehouden voor schade veroorzaakt door haar dochtervennootschap?</t>
  </si>
  <si>
    <t xml:space="preserve">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</si>
  <si>
    <t xml:space="preserve">[Van Dam, Doorbraak: eigen zorgplicht van moeder op grond van 6:162 BW, onafhankelijk van de leer van het vereenzelvigen.]</t>
  </si>
  <si>
    <t xml:space="preserve">C.C. van Dam, 'Doorbraak in de aansprakelijkheid van moedervennootschappen', in: Geschriften Vereniging Corporate Litigation 2020-2021, Deventer: Kluwer 2021</t>
  </si>
  <si>
    <t xml:space="preserve">Algemeen Van Dam — Kelderluik</t>
  </si>
  <si>
    <t xml:space="preserve">Welke vier factoren zijn bepalend bij de beoordeling van gevaarzetting volgens de Kelderluik-criteria?</t>
  </si>
  <si>
    <t xml:space="preserve">(1) de mate van waarschijnlijkheid dat niet-inachtneming van de vereiste oplettendheid en voorzichtigheid kan worden verwacht; (2) de grootte van de kans dat daaruit ongevallen ontstaan; (3) de ernst van de mogelijke gevolgen; en (4) de bezwaarlijkheid van te nemen voorzorgsmaatregelen.</t>
  </si>
  <si>
    <t xml:space="preserve">De Kelderluik-factoren zoals door de Hoge Raad geformuleerd (HR 5 november 1965, NJ 1966/136), en nadien steeds herhaald, vormen het beoordelingskader voor gevaarzetting onder art. 6:162 BW.</t>
  </si>
  <si>
    <t xml:space="preserve">HR 5 november 1965, NJ 1966/136 (Kelderluik)</t>
  </si>
  <si>
    <t xml:space="preserve">Algemeen Van Dam — structuur 6:162 BW</t>
  </si>
  <si>
    <t xml:space="preserve">Welke drie categorieën onrechtmatigheid onderscheidt art. 6:162 lid 2 BW?</t>
  </si>
  <si>
    <t xml:space="preserve">(1) inbreuk op een subjectief recht; (2) doen of nalaten in strijd met een wettelijke plicht; (3) doen of nalaten in strijd met hetgeen volgens ongeschreven recht in het maatschappelijk verkeer betaamt (maatschappelijke zorgvuldigheid).</t>
  </si>
  <si>
    <t xml:space="preserve">Als onrechtmatige daad worden aangemerkt een inbreuk op een recht en een doen of nalaten in strijd met een wettelijke plicht of met hetgeen volgens ongeschreven recht in het maatschappelijk verkeer betaamt, een en ander behoudens de aanwezigheid van een rechtvaardigingsgrond.</t>
  </si>
  <si>
    <t xml:space="preserve">Art. 6:162 lid 2 BW</t>
  </si>
  <si>
    <t xml:space="preserve">Algemeen Van Dam — schadevergoeding</t>
  </si>
  <si>
    <t xml:space="preserve">Welke twee stappen moet de rechter doorlopen bij toepassing van art. 6:98 BW (toerekening van schade)?</t>
  </si>
  <si>
    <t xml:space="preserve">(1) Vaststellen of er condicio-sine-qua-non-verband is tussen de gebeurtenis en de schade. (2) Zo ja, beoordelen of de schade zodanig verband houdt met de gebeurtenis dat zij, mede gezien de aard van de aansprakelijkheid en van de schade, als gevolg daaraan kan worden toegerekend.</t>
  </si>
  <si>
    <t xml:space="preserve">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</si>
  <si>
    <t xml:space="preserve">Art. 6:98 BW</t>
  </si>
  <si>
    <t xml:space="preserve">02</t>
  </si>
  <si>
    <t xml:space="preserve">Aansprakelijkheid voor zaken, stoffen en producten</t>
  </si>
  <si>
    <t xml:space="preserve">Afd. 6.3.3 BW</t>
  </si>
  <si>
    <t xml:space="preserve">Op welke grondslag berust productaansprakelijkheid in het BW en wat is de kernbepaling?</t>
  </si>
  <si>
    <t xml:space="preserve">Op Afdeling 6.3.3 BW (art. 6:185-193 BW), implementatie van Richtlijn 85/374/EEG (per 9 december 2026 vervangen door Richtlijn 2024/2853). Kernbepaling is art. 6:185 BW: de producent is aansprakelijk voor de schade veroorzaakt door een gebrek in zijn product.</t>
  </si>
  <si>
    <t xml:space="preserve">De producent is aansprakelijk voor de schade veroorzaakt door een gebrek in zijn product, behalve indien [een van de verweren van lid 1 zich voordoet].</t>
  </si>
  <si>
    <t xml:space="preserve">Art. 6:185 BW; Richtlijn 85/374/EEG</t>
  </si>
  <si>
    <t xml:space="preserve">term</t>
  </si>
  <si>
    <t xml:space="preserve">Franken, 'Hoe zat het ook alweer met… productaansprakelijkheid' (BB 2025/65)</t>
  </si>
  <si>
    <t xml:space="preserve">Wat verstaat art. 6:186 BW onder een 'gebrekkig product'?</t>
  </si>
  <si>
    <t xml:space="preserve">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</si>
  <si>
    <t xml:space="preserve">Een product is gebrekkig, indien het niet de veiligheid biedt die men daarvan mag verwachten, alle omstandigheden in aanmerking genomen en in het bijzonder […].</t>
  </si>
  <si>
    <t xml:space="preserve">Art. 6:186 BW</t>
  </si>
  <si>
    <t xml:space="preserve">Franken, 'Hoe zat het ook alweer met… productaansprakelijkheid'</t>
  </si>
  <si>
    <t xml:space="preserve">Wat valt onder het begrip 'product' in de zin van art. 6:187 lid 1 BW?</t>
  </si>
  <si>
    <t xml:space="preserve">Een roerende zaak, ook als deze een bestanddeel vormt van een andere roerende of onroerende zaak, alsmede elektriciteit. Sinds Richtlijn 2024/2853 (gedeeltelijk in werking 2026) is dit uitgebreid tot software en AI-systemen.</t>
  </si>
  <si>
    <t xml:space="preserve">Onder product wordt verstaan een roerende zaak, ook nadat zij een bestanddeel is gaan vormen van een andere roerende of onroerende zaak, alsmede elektriciteit.</t>
  </si>
  <si>
    <t xml:space="preserve">Art. 6:187 lid 1 BW; Richtlijn (EU) 2024/2853</t>
  </si>
  <si>
    <t xml:space="preserve">Wie is 'producent' in de zin van art. 6:187 lid 2 BW?</t>
  </si>
  <si>
    <t xml:space="preserve">De fabrikant van een eindproduct, de producent van een grondstof of de fabrikant van een onderdeel, alsmede een ieder die zich als producent presenteert door zijn naam, merk of ander onderscheidend teken op het product aan te brengen. Ook de importeur in de EU geldt als producent.</t>
  </si>
  <si>
    <t xml:space="preserve">Onder producent wordt verstaan de fabrikant van een eindproduct, de producent van een grondstof of de fabrikant van een onderdeel, alsmede een ieder die zich als producent presenteert.</t>
  </si>
  <si>
    <t xml:space="preserve">Art. 6:187 lid 2 BW</t>
  </si>
  <si>
    <t xml:space="preserve">Hoe is de bewijslast verdeeld onder art. 6:188 BW?</t>
  </si>
  <si>
    <t xml:space="preserve">De benadeelde moet de schade, het gebrek en het causaal verband tussen gebrek en schade bewijzen. De producent moet de verweren (zoals het ontwikkelingsrisico-verweer van art. 6:185 lid 1 sub e BW) bewijzen.</t>
  </si>
  <si>
    <t xml:space="preserve">De benadeelde dient de schade, het gebrek en het oorzakelijk verband tussen het gebrek en de schade te bewijzen.</t>
  </si>
  <si>
    <t xml:space="preserve">Art. 6:188 BW</t>
  </si>
  <si>
    <t xml:space="preserve">Wat houdt het ontwikkelingsrisico-verweer (state-of-the-art-verweer) in?</t>
  </si>
  <si>
    <t xml:space="preserve">De producent is niet aansprakelijk als hij bewijst dat het op grond van de stand van de wetenschappelijke en technische kennis op het tijdstip van in het verkeer brengen onmogelijk was het bestaan van het gebrek te ontdekken (art. 6:185 lid 1 sub e BW).</t>
  </si>
  <si>
    <t xml:space="preserve">De producent is niet aansprakelijk […] indien hij bewijst: […] dat het op grond van de stand van de wetenschappelijke en technische kennis op het tijdstip waarop hij het product in het verkeer bracht, onmogelijk was het bestaan van het gebrek te ontdekken.</t>
  </si>
  <si>
    <t xml:space="preserve">Art. 6:185 lid 1 sub e BW</t>
  </si>
  <si>
    <t xml:space="preserve">Asser/Hartkamp &amp; Sieburgh 6-IV</t>
  </si>
  <si>
    <t xml:space="preserve">Welke schade komt op grond van art. 6:190 BW voor vergoeding in aanmerking bij productaansprakelijkheid?</t>
  </si>
  <si>
    <t xml:space="preserve">Schade door dood of lichamelijk letsel, en zaakschade aan een zaak bestemd voor privégebruik (boven een franchise van € 500). Zuivere vermogensschade en schade aan het gebrekkige product zelf zijn uitgesloten.</t>
  </si>
  <si>
    <t xml:space="preserve">Onder schade als bedoeld in artikel 185 wordt verstaan: a. schade door dood of lichamelijk letsel; b. schade door het product toegebracht aan een andere zaak die gewoonlijk voor gebruik of verbruik in de privésfeer is bestemd.</t>
  </si>
  <si>
    <t xml:space="preserve">Art. 6:190 BW</t>
  </si>
  <si>
    <t xml:space="preserve">Welke vervaltermijn geldt voor de vordering tot schadevergoeding wegens productaansprakelijkheid?</t>
  </si>
  <si>
    <t xml:space="preserve">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</si>
  <si>
    <t xml:space="preserve">De rechtsvordering uit hoofde van de aansprakelijkheid op grond van artikel 185 verjaart door verloop van drie jaren na de aanvang van de dag, volgende op die waarop de benadeelde met de schade, het gebrek en de identiteit van de producent bekend is geworden.</t>
  </si>
  <si>
    <t xml:space="preserve">Art. 6:191 BW</t>
  </si>
  <si>
    <t xml:space="preserve">Afd. 6.3.2 BW — zaken</t>
  </si>
  <si>
    <t xml:space="preserve">Wanneer is de bezitter van een gebrekkige opstal aansprakelijk op grond van art. 6:174 BW?</t>
  </si>
  <si>
    <t xml:space="preserve">Wanneer de opstal niet voldoet aan de eisen die men daaraan in de gegeven omstandigheden mag stellen, en daardoor gevaar voor personen of zaken oplevert, en dat gevaar zich verwezenlijkt. Risicoaansprakelijkheid van de bezitter (of bedrijfsmatige gebruiker ex lid 3).</t>
  </si>
  <si>
    <t xml:space="preserve">De bezitter van een opstal die niet voldoet aan de eisen die men daaraan in de gegeven omstandigheden mag stellen, en daardoor gevaar voor personen of zaken oplevert, is, wanneer dit gevaar zich verwezenlijkt, aansprakelijk.</t>
  </si>
  <si>
    <t xml:space="preserve">Art. 6:174 BW</t>
  </si>
  <si>
    <t xml:space="preserve">Afd. 6.3.2 BW — dieren</t>
  </si>
  <si>
    <t xml:space="preserve">Wie is aansprakelijk voor schade veroorzaakt door een dier en waarom is dit een risicoaansprakelijkheid?</t>
  </si>
  <si>
    <t xml:space="preserve">De bezitter van het dier (art. 6:179 BW). De aansprakelijkheid berust op het onberekenbare, eigen gedrag van het dier (de 'eigen energie'); schuld van de bezitter is niet vereist.</t>
  </si>
  <si>
    <t xml:space="preserve">De bezitter van een dier is aansprakelijk voor de door het dier aangerichte schade, tenzij aansprakelijkheid op grond van de vorige afdeling zou hebben ontbroken indien hij de gedraging van het dier waardoor de schade werd toegebracht, in zijn macht zou hebben gehad.</t>
  </si>
  <si>
    <t xml:space="preserve">Art. 6:179 BW</t>
  </si>
  <si>
    <t xml:space="preserve">Afd. 6.3.2 BW — roerende zaken</t>
  </si>
  <si>
    <t xml:space="preserve">Voor welke gevaarzetting van roerende zaken is de bezitter aansprakelijk op grond van art. 6:173 BW?</t>
  </si>
  <si>
    <t xml:space="preserve">Voor roerende zaken die bekend zijn bij een bijzonder gevaar voor personen of zaken bij gebrekkig onderhoud, constructie of werking, en dat gevaar zich verwezenlijkt. Niet: zaken die uitsluitend gevaarlijk zijn door onjuist gebruik.</t>
  </si>
  <si>
    <t xml:space="preserve">De bezitter van een roerende zaak waarvan bekend is dat zij, zo zij niet voldoet aan de eisen die men in de gegeven omstandigheden aan zulk een zaak mag stellen, een bijzonder gevaar voor personen of zaken oplevert, is, wanneer dit gevaar zich verwezenlijkt, aansprakelijk.</t>
  </si>
  <si>
    <t xml:space="preserve">Art. 6:173 BW</t>
  </si>
  <si>
    <t xml:space="preserve">Afd. 6.3.2 BW — gevaarlijke stoffen</t>
  </si>
  <si>
    <t xml:space="preserve">Wanneer is de bedrijfsmatige gebruiker van een gevaarlijke stof aansprakelijk op grond van art. 6:175 BW?</t>
  </si>
  <si>
    <t xml:space="preserve">Als hij beroepsmatig of bedrijfsmatig een stof gebruikt of onder zich heeft waarvan bekend is dat zij zodanige eigenschappen heeft dat zij bijzonder gevaar van ernstige aard oplevert, en dat gevaar zich verwezenlijkt.</t>
  </si>
  <si>
    <t xml:space="preserve">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</si>
  <si>
    <t xml:space="preserve">Art. 6:175 BW</t>
  </si>
  <si>
    <t xml:space="preserve">Mutsaerts, 'Wijziging aansprakelijkheid gebrekkige producten' (WAAR&amp;WET juli 2025)</t>
  </si>
  <si>
    <t xml:space="preserve">Wat zijn drie kernwijzigingen in de nieuwe productaansprakelijkheidsrichtlijn (Richtlijn 2024/2853)?</t>
  </si>
  <si>
    <t xml:space="preserve">(1) Uitbreiding van het productbegrip naar software en AI; (2) ruimer schadebegrip (psychische schade en dataverlies); (3) verlichting van de bewijslast voor de benadeelde door bewijsvermoedens bij complexe producten.</t>
  </si>
  <si>
    <t xml:space="preserve">[Mutsaerts, WAAR&amp;WET 2025: de nieuwe richtlijn breidt product uit met software/AI, kent nieuwe schadeposten zoals psychische schade en dataverlies, en verlaagt de bewijslast via vermoedens.]</t>
  </si>
  <si>
    <t xml:space="preserve">B. Mutsaerts, 'Wijziging aansprakelijkheid; wees voorbereid', WAAR&amp;WET juli 2025</t>
  </si>
  <si>
    <t xml:space="preserve">Franken, inleiding syllabus</t>
  </si>
  <si>
    <t xml:space="preserve">Hoe staan de buitencontractuele productaansprakelijkheid (Afd. 6.3.3 BW) en het leerstuk van de ongeschikte hulpzaak (art. 6:77 BW) tot elkaar?</t>
  </si>
  <si>
    <t xml:space="preserve">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</si>
  <si>
    <t xml:space="preserve">[Franken, syllabus: samenloop contract/delict bij gebrekkige zaken — benadeelde heeft keuze tussen grondslagen; in cassatie vaak afweging tussen voorzienbaarheid en risicosfeer.]</t>
  </si>
  <si>
    <t xml:space="preserve">Art. 6:77 BW; HR 19 juni 2020, ECLI:NL:HR:2020:1090 (Beadle v. MST)</t>
  </si>
  <si>
    <t xml:space="preserve">Wat houdt de hoofdregel van art. 6:77 BW in over aansprakelijkheid voor ongeschikte hulpzaken?</t>
  </si>
  <si>
    <t xml:space="preserve">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</si>
  <si>
    <t xml:space="preserve">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</si>
  <si>
    <t xml:space="preserve">Art. 6:77 BW</t>
  </si>
  <si>
    <t xml:space="preserve">PIP-implantaten / Miragel-plombe-lijn</t>
  </si>
  <si>
    <t xml:space="preserve">Hoe beoordeelt de Hoge Raad de aansprakelijkheid van een arts of ziekenhuis voor een gebrekkig medisch hulpmiddel onder art. 6:77 BW?</t>
  </si>
  <si>
    <t xml:space="preserve">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</si>
  <si>
    <t xml:space="preserve">[HR 19 juni 2020, ECLI:NL:HR:2020:1090 (Miragel-plombe): toerekening van gebrekkigheid state-of-the-art hulpzaak is niet zonder meer redelijk.]</t>
  </si>
  <si>
    <t xml:space="preserve">HR 19 juni 2020, ECLI:NL:HR:2020:1090 (Miragel-plombe)</t>
  </si>
  <si>
    <t xml:space="preserve">Franken, syllabus — exoneraties</t>
  </si>
  <si>
    <t xml:space="preserve">Onder welke omstandigheden wordt een beroep op een exoneratieclausule in een B2B-overeenkomst naar maatstaven van redelijkheid en billijkheid onaanvaardbaar geacht?</t>
  </si>
  <si>
    <t xml:space="preserve">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</si>
  <si>
    <t xml:space="preserve">Een beroep op een exoneratiebeding kan naar maatstaven van redelijkheid en billijkheid onaanvaardbaar zijn, bijvoorbeeld indien de schade is te wijten aan opzet of bewuste roekeloosheid van de schuldenaar of van met de leiding van zijn bedrijf belaste personen.</t>
  </si>
  <si>
    <t xml:space="preserve">HR 12 december 1997, NJ 1998/208 (Stein/Driessen); HR 5 september 2008, NJ 2008/480 (Telfort/Scaramea)</t>
  </si>
  <si>
    <t xml:space="preserve">Voorbeeld AVB-polisvoorwaarden</t>
  </si>
  <si>
    <t xml:space="preserve">Wat is het dekkingsbereik van een standaard AVB-verzekering (aansprakelijkheid voor bedrijven)?</t>
  </si>
  <si>
    <t xml:space="preserve">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</si>
  <si>
    <t xml:space="preserve">Onder de AVB-dekking valt de aansprakelijkheid van verzekerde voor door derden geleden schade aan personen en zaken, inclusief de daaruit voortvloeiende gevolgschade.</t>
  </si>
  <si>
    <t xml:space="preserve">Voorbeeld polisvoorwaarden AVB (syllabus Franken, p. 89 e.v.)</t>
  </si>
  <si>
    <t xml:space="preserve">Wat is het verschil tussen een 'claims made'- en een 'loss occurrence'-dekking in een AVB-polis?</t>
  </si>
  <si>
    <t xml:space="preserve">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</si>
  <si>
    <t xml:space="preserve">[Claims made: dekking geldt voor aanspraken gemeld gedurende de verzekeringsperiode; loss occurrence: voor schades ontstaan in de verzekeringsperiode.]</t>
  </si>
  <si>
    <t xml:space="preserve">Praktische leerstuk uit Franken-syllabus; zie ook J. Wansink, De algemene aansprakelijkheidsverzekering, 4e dr., Kluwer 2016</t>
  </si>
  <si>
    <t xml:space="preserve">05</t>
  </si>
  <si>
    <t xml:space="preserve">Aansprakelijkheid voor hulppersonen en vertegenwoordigers</t>
  </si>
  <si>
    <t xml:space="preserve">Art. 6:76 BW</t>
  </si>
  <si>
    <t xml:space="preserve">Wat is de hoofdregel van art. 6:76 BW over aansprakelijkheid voor hulppersonen in contractuele verhoudingen?</t>
  </si>
  <si>
    <t xml:space="preserve">Maakt een schuldenaar bij de uitvoering van een verbintenis gebruik van hulp van andere personen, dan is hij voor hun gedragingen op gelijke wijze aansprakelijk als voor eigen gedragingen. Ruime risicoaansprakelijkheid, zonder 'functioneel verband'-toets zoals bij 6:170.</t>
  </si>
  <si>
    <t xml:space="preserve">Maakt de schuldenaar bij de uitvoering van een verbintenis gebruik van de hulp van andere personen, dan is hij voor hun gedragingen op gelijke wijze als voor eigen gedragingen aansprakelijk.</t>
  </si>
  <si>
    <t xml:space="preserve">Art. 6:170 BW</t>
  </si>
  <si>
    <t xml:space="preserve">Onder welke vier voorwaarden is de werkgever op grond van art. 6:170 lid 1 BW aansprakelijk voor een fout van zijn ondergeschikte?</t>
  </si>
  <si>
    <t xml:space="preserve">(1)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</si>
  <si>
    <t xml:space="preserve">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</si>
  <si>
    <t xml:space="preserve">Art. 6:170 lid 1 BW</t>
  </si>
  <si>
    <t xml:space="preserve">Geldnet/Kwantum (HR 14 juni 2002)</t>
  </si>
  <si>
    <t xml:space="preserve">Kan een schuldenaar zich onder art. 6:76 BW verschuilen achter een onafhankelijke opdrachtnemer die bij de uitvoering is ingeschakeld?</t>
  </si>
  <si>
    <t xml:space="preserve">Nee, niet zonder meer. Ook zelfstandige opdrachtnemers kunnen 'hulp bij de uitvoering' opleveren als zij worden ingezet bij de uitvoering van de verbintenis van de schuldenaar jegens zijn wederpartij. De schuldenaar is dan voor hun gedragingen aansprakelijk.</t>
  </si>
  <si>
    <t xml:space="preserve">[Geldnet/Kwantum: 6:76 BW strekt zich ook uit tot zelfstandige opdrachtnemers die ter uitvoering van de verbintenis van de schuldenaar worden ingezet.]</t>
  </si>
  <si>
    <t xml:space="preserve">HR 14 juni 2002, ECLI:NL:HR:2002:AE0657, NJ 2002/495 (Geldnet/Kwantum)</t>
  </si>
  <si>
    <t xml:space="preserve">Kleuterschool Babbel (HR 6 april 1979)</t>
  </si>
  <si>
    <t xml:space="preserve">Wanneer kan een onrechtmatige gedraging van een functionaris aan een rechtspersoon worden toegerekend buiten art. 6:170 BW om?</t>
  </si>
  <si>
    <t xml:space="preserve">Wanneer de gedraging in het maatschappelijk verkeer als een gedraging van de rechtspersoon zelf heeft te gelden. De orgaantheorie (art. 2:5 BW in combinatie met verkeersopvattingen) maakt de rechtspersoon dan rechtstreeks aansprakelijk uit 6:162 BW.</t>
  </si>
  <si>
    <t xml:space="preserve">Gedragingen van een bestuurder of functionaris kunnen in het maatschappelijk verkeer als gedragingen van de rechtspersoon worden aangemerkt, indien zij zijn verricht in de hoedanigheid van orgaan of werknemer van die rechtspersoon.</t>
  </si>
  <si>
    <t xml:space="preserve">HR 6 april 1979, NJ 1980/34 (Kleuterschool Babbel)</t>
  </si>
  <si>
    <t xml:space="preserve">Laurus/Vomar (HR 16 maart 2007)</t>
  </si>
  <si>
    <t xml:space="preserve">Kunnen gedragingen van een werknemer als gedragingen van de rechtspersoon worden toegerekend onder de orgaantheorie, zelfs als die werknemer geen bestuurder is?</t>
  </si>
  <si>
    <t xml:space="preserve">Ja. Ook het handelen van een werknemer kan in het maatschappelijk verkeer als gedraging van de rechtspersoon hebben te gelden, zeker wanneer de werknemer daartoe bevoegd was en de gedraging in lijn met zijn functie ligt. Niet slechts bestuurders komen in aanmerking.</t>
  </si>
  <si>
    <t xml:space="preserve">[Laurus/Vomar: ook gedragingen van een niet-bestuurder kunnen onder omstandigheden als gedraging van de rechtspersoon zelf worden aangemerkt.]</t>
  </si>
  <si>
    <t xml:space="preserve">HR 16 maart 2007, ECLI:NL:HR:2007:AZ6530, NJ 2007/232 (Laurus/Vomar)</t>
  </si>
  <si>
    <t xml:space="preserve">Oosterparkrellen (HR 9 juli 2004)</t>
  </si>
  <si>
    <t xml:space="preserve">Kan de politie (de Staat) onder art. 6:170 BW aansprakelijk zijn voor geweld gepleegd door politieambtenaren tijdens een optreden?</t>
  </si>
  <si>
    <t xml:space="preserve">Ja. De kans op de fout (onrechtmatig geweld) wordt vergroot door de opgedragen taak (optreden bij rellen), en de werkgever (Staat) heeft zeggenschap over de uitoefening van de politietaak. Aansprakelijkheid op grond van 6:170 BW in combinatie met 6:162 BW.</t>
  </si>
  <si>
    <t xml:space="preserve">[Oosterparkrellen: art. 6:170 BW van toepassing op onrechtmatig politiegeweld; functioneel verband tussen opgedragen taak en fout.]</t>
  </si>
  <si>
    <t xml:space="preserve">HR 9 juli 2004, ECLI:NL:HR:2004:AO7221, NJ 2005/391 (Oosterparkrellen)</t>
  </si>
  <si>
    <t xml:space="preserve">Davelaar/Allspan (HR 23 maart 2012)</t>
  </si>
  <si>
    <t xml:space="preserve">Valt een zzp'er onder het begrip 'ondergeschikte' in art. 6:170 BW of onder 'niet-ondergeschikte' in art. 6:171 BW?</t>
  </si>
  <si>
    <t xml:space="preserve">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</si>
  <si>
    <t xml:space="preserve">[Davelaar/Allspan: art. 6:171 BW geldt alleen als de zzp'er werkzaamheden verricht ter uitoefening van het bedrijf van de opdrachtgever, beoordeeld naar de verkeersopvattingen.]</t>
  </si>
  <si>
    <t xml:space="preserve">HR 23 maart 2012, ECLI:NL:HR:2012:BV0616, NJ 2014/414 (Davelaar/Allspan)</t>
  </si>
  <si>
    <t xml:space="preserve">Art. 6:171 BW</t>
  </si>
  <si>
    <t xml:space="preserve">Wanneer is de opdrachtgever aansprakelijk voor fouten van een niet-ondergeschikte op grond van art. 6:171 BW?</t>
  </si>
  <si>
    <t xml:space="preserve">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</si>
  <si>
    <t xml:space="preserve">Indien een niet ondergeschikte die in opdracht van een ander werkzaamheden ter uitoefening van diens bedrijf verricht, jegens een derde aansprakelijk is voor een bij die werkzaamheden begane fout, is ook die ander jegens de derde aansprakelijk.</t>
  </si>
  <si>
    <t xml:space="preserve">Art. 6:172 BW</t>
  </si>
  <si>
    <t xml:space="preserve">Onder welke voorwaarden is een vertegenwoordigde aansprakelijk voor een onrechtmatige daad van zijn vertegenwoordiger op grond van art. 6:172 BW?</t>
  </si>
  <si>
    <t xml:space="preserve">Als de fout is begaan bij de uitoefening van een bevoegdheid die hem door de vertegenwoordigde is verleend, en de vertegenwoordiger als zodanig bij die gedraging heeft gehandeld. Risicoaansprakelijkheid van de vertegenwoordigde, ongeacht schuld.</t>
  </si>
  <si>
    <t xml:space="preserve">Indien een fout van een vertegenwoordiger bij de uitoefening van zijn bevoegdheid een derde wordt toegebracht, is de vertegenwoordigde voor die fout aansprakelijk.</t>
  </si>
  <si>
    <t xml:space="preserve">Logistics Solutions/TSM (HR 22 april 2022)</t>
  </si>
  <si>
    <t xml:space="preserve">Hoe verhoudt art. 6:76 BW zich tot een contractuele exoneratie ten behoeve van de hulppersoon zelf (Derdenwerking)?</t>
  </si>
  <si>
    <t xml:space="preserve">De schuldenaar kan via art. 6:76 BW aansprakelijk worden gehouden voor gedragingen van de hulppersoon, ook als de hulppersoon zich jegens de schuldeiser op een exoneratie zou kunnen beroepen. De derdenwerking van exoneraties wordt restrictief uitgelegd.</t>
  </si>
  <si>
    <t xml:space="preserve">[Logistics Solutions/TSM: 6:76 BW-aansprakelijkheid van schuldenaar wordt niet beperkt door een tussen hulppersoon en derde bedongen exoneratie, tenzij dat voortvloeit uit de overeenkomst tussen schuldenaar en schuldeiser.]</t>
  </si>
  <si>
    <t xml:space="preserve">HR 22 april 2022, NJ 2022/175 (Logistics Solutions/TSM)</t>
  </si>
  <si>
    <t xml:space="preserve">Rijpma/Groot (HR 2 december 2005)</t>
  </si>
  <si>
    <t xml:space="preserve">Kan een beroepsbeoefenaar zijn aansprakelijkheid uit art. 6:76 BW beperken tot 'fouten van redelijk bekwame en redelijk handelende vakgenoten'?</t>
  </si>
  <si>
    <t xml:space="preserve">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</si>
  <si>
    <t xml:space="preserve">[Rijpma/Groot: de notaris die een kandidaat-notaris inschakelt, is op grond van 6:76 BW aansprakelijk als ware het eigen handelen.]</t>
  </si>
  <si>
    <t xml:space="preserve">HR 2 december 2005, ECLI:NL:HR:2005:AU5661, NJ 2006/444 (Rijpma/Groot)</t>
  </si>
  <si>
    <t xml:space="preserve">Aquaphalt/Staat (HR 2 oktober 1998)</t>
  </si>
  <si>
    <t xml:space="preserve">Is de Staat via art. 6:170 BW aansprakelijk voor schade veroorzaakt door ambtelijke inzet van een aannemer bij Rijkswerkzaamheden?</t>
  </si>
  <si>
    <t xml:space="preserve">Ja, mits sprake is van zodanige feitelijke zeggenschap dat materiële ondergeschiktheid kan worden aangenomen. Is er geen materieel gezag (de aannemer werkt zelfstandig), dan is 6:171 BW de aangewezen grondslag.</t>
  </si>
  <si>
    <t xml:space="preserve">[Aquaphalt/Staat: afbakening ondergeschikt/niet-ondergeschikt bij overheidswerken hangt af van feitelijke zeggenschap.]</t>
  </si>
  <si>
    <t xml:space="preserve">HR 2 oktober 1998, NJ 1998/852 (Aquaphalt/Staat)</t>
  </si>
  <si>
    <t xml:space="preserve">ControlPay/ABN-AMRO (HR 15 juli 2022)</t>
  </si>
  <si>
    <t xml:space="preserve">Welk aspect van hulppersoonsaansprakelijkheid werkt HR ControlPay/ABN-AMRO uit?</t>
  </si>
  <si>
    <t xml:space="preserve">Dat art. 6:76 BW ook geldt bij uitbesteding van bancaire deelprocessen (zoals payrolling): ABN-AMRO blijft jegens haar wederpartij aansprakelijk voor fouten van de ingeschakelde derde, ondanks de feitelijke uitvoering door ControlPay.</t>
  </si>
  <si>
    <t xml:space="preserve">[ControlPay/ABN-AMRO: de schuldenaar blijft onder 6:76 BW aansprakelijk voor gedragingen van een ingeschakelde zelfstandige verwerker.]</t>
  </si>
  <si>
    <t xml:space="preserve">HR 15 juli 2022, RvdW 2022/756 (ControlPay/ABN-AMRO)</t>
  </si>
  <si>
    <t xml:space="preserve">MV/Zürich (HR 14 juli 2017)</t>
  </si>
  <si>
    <t xml:space="preserve">Geldt de AVB-dekking van een werkgever ook voor schade die een werknemer aan zijn collega toebrengt?</t>
  </si>
  <si>
    <t xml:space="preserve">Ja, de AVB van de werkgever dekt in beginsel mede de aansprakelijkheid van een werknemer jegens een andere werknemer (zogenaamde 'werkgeversaansprakelijkheid voor fouten van werknemers'), tenzij de polis expliciet anders bepaalt.</t>
  </si>
  <si>
    <t xml:space="preserve">[MV/Zürich: dekkingsomvang AVB-polis omvat in beginsel ook werknemer-op-werknemer-aansprakelijkheid.]</t>
  </si>
  <si>
    <t xml:space="preserve">HR 14 juli 2017, NJ 2017/467 (MV/Zürich)</t>
  </si>
  <si>
    <t xml:space="preserve">Beckers/Dexia (Hof Den Bosch 10 juni 2014 / HR 2 september 2016)</t>
  </si>
  <si>
    <t xml:space="preserve">Welke rol speelt de 'zaakbehartigende' tussenpersoon bij aansprakelijkheid voor verkopers van effectenleaseproducten?</t>
  </si>
  <si>
    <t xml:space="preserve">De bank (Dexia) blijft jegens de afnemer aansprakelijk voor fouten van tussenpersonen die als hulppersoon bij het afsluiten van de overeenkomst zijn ingezet. De tussenpersoon wordt geacht te hebben gehandeld op grond van art. 6:76 BW.</t>
  </si>
  <si>
    <t xml:space="preserve">[Beckers/Dexia: Dexia aansprakelijk via 6:76 BW voor onvoldoende advies door ingeschakelde tussenpersoon.]</t>
  </si>
  <si>
    <t xml:space="preserve">HR 2 september 2016, ECLI:NL:HR:2016:2012, NJ 2017/9 (Beckers/Dexia)</t>
  </si>
  <si>
    <t xml:space="preserve">Gelderland/Vitesse (HR 25 juni 2010)</t>
  </si>
  <si>
    <t xml:space="preserve">Kan kennis van een bestuurder aan de rechtspersoon worden toegerekend bij beoordeling van onrechtmatig handelen?</t>
  </si>
  <si>
    <t xml:space="preserve">Ja, kennis van een bestuurder of leidinggevend functionaris kan in het maatschappelijk verkeer aan de rechtspersoon worden toegerekend, mits die kennis in de hoedanigheid van orgaan of werknemer is opgedaan en relevant is voor de onrechtmatige gedraging.</t>
  </si>
  <si>
    <t xml:space="preserve">[Gelderland/Vitesse: toerekening van kennis volgt dezelfde 'verkeersopvattingen'-toets als toerekening van gedragingen aan de rechtspersoon.]</t>
  </si>
  <si>
    <t xml:space="preserve">HR 25 juni 2010, ECLI:NL:HR:2010:BL5420, NJ 2010/371 (Gelderland/Vitesse)</t>
  </si>
  <si>
    <t xml:space="preserve">Van Bentum/Bos q.q. (HR 10 januari 2003)</t>
  </si>
  <si>
    <t xml:space="preserve">Hoe werkt art. 6:170 BW door in een faillissement van de ondergeschikte?</t>
  </si>
  <si>
    <t xml:space="preserve">De aansprakelijkheid van de werkgever op grond van 6:170 BW blijft bestaan ook als de ondergeschikte failliet is. De benadeelde kan zich rechtstreeks tot de werkgever wenden; de curator hoeft niet bij de vordering betrokken te worden.</t>
  </si>
  <si>
    <t xml:space="preserve">[Van Bentum/Bos q.q.: 6:170 BW-aansprakelijkheid van werkgever staat los van het faillissement van de werknemer; vordering loopt direct tegen werkgever.]</t>
  </si>
  <si>
    <t xml:space="preserve">HR 10 januari 2003, ECLI:NL:HR:2003:AF0692, NJ 2003/196 (Van Bentum/Bos q.q.)</t>
  </si>
  <si>
    <t xml:space="preserve">Groot Kievitsdal (HR 9 november 2007)</t>
  </si>
  <si>
    <t xml:space="preserve">Hoe wordt de 'ondergeschiktheid' in art. 6:170 BW beoordeeld bij horeca- en dienstverleningscontexten?</t>
  </si>
  <si>
    <t xml:space="preserve">De ondergeschiktheid vereist feitelijke gezagsverhouding; een arbeidsovereenkomst is niet strikt nodig. Bij Groot Kievitsdal werd de beveiliger als ondergeschikt aangemerkt omdat de horecaonderneming aanwijzingen kon geven, ook al was hij in dienst van een beveiligingsbedrijf.</t>
  </si>
  <si>
    <t xml:space="preserve">[Groot Kievitsdal: materiële ondergeschiktheid kan ook buiten arbeidsovereenkomst bestaan als de werkgever feitelijk aanwijzingen kan geven.]</t>
  </si>
  <si>
    <t xml:space="preserve">HR 9 november 2007, ECLI:NL:HR:2007:BA7557, NJ 2007/658 (Groot Kievitsdal)</t>
  </si>
  <si>
    <t xml:space="preserve">Nationale-Nederlanden/'t Witte Paerdje (HR 10 oktober 2003)</t>
  </si>
  <si>
    <t xml:space="preserve">Is een hotelexploitant onder art. 6:76 BW aansprakelijk voor brand veroorzaakt door een door hem ingeschakelde schoonmaker?</t>
  </si>
  <si>
    <t xml:space="preserve">Ja. Een schoonmaker die werkzaamheden verricht ter uitvoering van de verbintenis van de hotelier jegens gasten (veilige accommodatie) kwalificeert als hulppersoon in de zin van art. 6:76 BW. De hotelier is voor diens brandveroorzakend handelen aansprakelijk.</t>
  </si>
  <si>
    <t xml:space="preserve">[Nationale-Nederlanden/'t Witte Paerdje: schoonmaker = hulppersoon; brand door roken of onvoorzichtigheid valt onder 6:76 BW voor de hotelier.]</t>
  </si>
  <si>
    <t xml:space="preserve">HR 10 oktober 2003, ECLI:NL:HR:2003:AI0828, NJ 2005/89 (Nationale-Nederlanden/'t Witte Paerdje)</t>
  </si>
  <si>
    <t xml:space="preserve">Syllabus De Vries, inleiding</t>
  </si>
  <si>
    <t xml:space="preserve">Wat is het verschil in grondslag tussen art. 6:76 BW en art. 6:170 BW?</t>
  </si>
  <si>
    <t xml:space="preserve">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</si>
  <si>
    <t xml:space="preserve">Art. 6:76 BW: schuldenaar tegenover wederpartij — contractueel. Art. 6:170 BW: werkgever tegenover derde — buitencontractueel, maar schuldenaar en wederpartij kunnen samenvallen (bv. arbeidsongeval van derde).</t>
  </si>
  <si>
    <t xml:space="preserve">Art. 6:76 en 6:170 BW; Asser/Hartkamp &amp; Sieburgh 6-IV, hoofdstuk 6</t>
  </si>
  <si>
    <t xml:space="preserve">Behouden</t>
  </si>
  <si>
    <t xml:space="preserve">Aanpassen</t>
  </si>
  <si>
    <t xml:space="preserve">Verwijderen</t>
  </si>
  <si>
    <t xml:space="preserve">Totaal</t>
  </si>
  <si>
    <t xml:space="preserve">Module 01 — Algemene inleiding aansprakelijkheidsrecht</t>
  </si>
  <si>
    <t xml:space="preserve">Module 02 — Aansprakelijkheid voor zaken, stoffen en producten</t>
  </si>
  <si>
    <t xml:space="preserve">Module 05 — Aansprakelijkheid voor hulppersonen en vertegenwoordigers</t>
  </si>
  <si>
    <t xml:space="preserve">TOTAAL</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</si>
</sst>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s>
  <fills count="6">
    <fill>
      <patternFill patternType="none"/>
    </fill>
    <fill>
      <patternFill patternType="gray125"/>
    </fill>
    <fill>
      <patternFill patternType="solid">
        <fgColor rgb="FF0A0A0C"/>
        <bgColor rgb="FF000000"/>
      </patternFill>
    </fill>
    <fill>
      <patternFill patternType="solid">
        <fgColor rgb="FFF4EEDF"/>
        <bgColor rgb="FFECF4E8"/>
      </patternFill>
    </fill>
    <fill>
      <patternFill patternType="solid">
        <fgColor rgb="FFE8EEF4"/>
        <bgColor rgb="FFECF4E8"/>
      </patternFill>
    </fill>
    <fill>
      <patternFill patternType="solid">
        <fgColor rgb="FFECF4E8"/>
        <bgColor rgb="FFE8EEF4"/>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4EEDF"/>
      <rgbColor rgb="FFE8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F4E8"/>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A0A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2"/>
    <col collapsed="false" customWidth="true" hidden="false" outlineLevel="0" max="4" min="4" style="0" width="10"/>
    <col collapsed="false" customWidth="true" hidden="false" outlineLevel="0" max="5" min="5" style="0" width="28"/>
    <col collapsed="false" customWidth="true" hidden="false" outlineLevel="0" max="6" min="6" style="0" width="60"/>
    <col collapsed="false" customWidth="true" hidden="false" outlineLevel="0" max="8" min="7" style="0" width="70"/>
    <col collapsed="false" customWidth="true" hidden="false" outlineLevel="0" max="9" min="9" style="0" width="32"/>
    <col collapsed="false" customWidth="true" hidden="false" outlineLevel="0" max="10" min="10" style="0" width="12"/>
    <col collapsed="false" customWidth="true" hidden="false" outlineLevel="0" max="11" min="11" style="0" width="30"/>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109.5" hidden="false" customHeight="true" outlineLevel="0" collapsed="false">
      <c r="A2" s="2" t="n">
        <v>1</v>
      </c>
      <c r="B2" s="2" t="s">
        <v>11</v>
      </c>
      <c r="C2" s="2" t="s">
        <v>12</v>
      </c>
      <c r="D2" s="2" t="s">
        <v>13</v>
      </c>
      <c r="E2" s="2" t="s">
        <v>14</v>
      </c>
      <c r="F2" s="2" t="s">
        <v>15</v>
      </c>
      <c r="G2" s="2" t="s">
        <v>16</v>
      </c>
      <c r="H2" s="2" t="s">
        <v>17</v>
      </c>
      <c r="I2" s="2" t="s">
        <v>18</v>
      </c>
      <c r="J2" s="2"/>
      <c r="K2" s="2"/>
    </row>
    <row r="3" customFormat="false" ht="109.5" hidden="false" customHeight="true" outlineLevel="0" collapsed="false">
      <c r="A3" s="2" t="n">
        <v>2</v>
      </c>
      <c r="B3" s="2" t="s">
        <v>11</v>
      </c>
      <c r="C3" s="2" t="s">
        <v>12</v>
      </c>
      <c r="D3" s="2" t="s">
        <v>13</v>
      </c>
      <c r="E3" s="2" t="s">
        <v>14</v>
      </c>
      <c r="F3" s="2" t="s">
        <v>19</v>
      </c>
      <c r="G3" s="2" t="s">
        <v>20</v>
      </c>
      <c r="H3" s="2" t="s">
        <v>21</v>
      </c>
      <c r="I3" s="2" t="s">
        <v>18</v>
      </c>
      <c r="J3" s="2"/>
      <c r="K3" s="2"/>
    </row>
    <row r="4" customFormat="false" ht="109.5" hidden="false" customHeight="true" outlineLevel="0" collapsed="false">
      <c r="A4" s="2" t="n">
        <v>3</v>
      </c>
      <c r="B4" s="2" t="s">
        <v>11</v>
      </c>
      <c r="C4" s="2" t="s">
        <v>12</v>
      </c>
      <c r="D4" s="2" t="s">
        <v>13</v>
      </c>
      <c r="E4" s="2" t="s">
        <v>14</v>
      </c>
      <c r="F4" s="2" t="s">
        <v>22</v>
      </c>
      <c r="G4" s="2" t="s">
        <v>23</v>
      </c>
      <c r="H4" s="2" t="s">
        <v>24</v>
      </c>
      <c r="I4" s="2" t="s">
        <v>18</v>
      </c>
      <c r="J4" s="2"/>
      <c r="K4" s="2"/>
    </row>
    <row r="5" customFormat="false" ht="109.5" hidden="false" customHeight="true" outlineLevel="0" collapsed="false">
      <c r="A5" s="2" t="n">
        <v>4</v>
      </c>
      <c r="B5" s="2" t="s">
        <v>11</v>
      </c>
      <c r="C5" s="2" t="s">
        <v>12</v>
      </c>
      <c r="D5" s="2" t="s">
        <v>13</v>
      </c>
      <c r="E5" s="2" t="s">
        <v>14</v>
      </c>
      <c r="F5" s="2" t="s">
        <v>25</v>
      </c>
      <c r="G5" s="2" t="s">
        <v>26</v>
      </c>
      <c r="H5" s="2" t="s">
        <v>27</v>
      </c>
      <c r="I5" s="2" t="s">
        <v>18</v>
      </c>
      <c r="J5" s="2"/>
      <c r="K5" s="2"/>
    </row>
    <row r="6" customFormat="false" ht="109.5" hidden="false" customHeight="true" outlineLevel="0" collapsed="false">
      <c r="A6" s="2" t="n">
        <v>5</v>
      </c>
      <c r="B6" s="2" t="s">
        <v>11</v>
      </c>
      <c r="C6" s="2" t="s">
        <v>12</v>
      </c>
      <c r="D6" s="2" t="s">
        <v>13</v>
      </c>
      <c r="E6" s="2" t="s">
        <v>14</v>
      </c>
      <c r="F6" s="2" t="s">
        <v>28</v>
      </c>
      <c r="G6" s="2" t="s">
        <v>29</v>
      </c>
      <c r="H6" s="2" t="s">
        <v>30</v>
      </c>
      <c r="I6" s="2" t="s">
        <v>18</v>
      </c>
      <c r="J6" s="2"/>
      <c r="K6" s="2"/>
    </row>
    <row r="7" customFormat="false" ht="109.5" hidden="false" customHeight="true" outlineLevel="0" collapsed="false">
      <c r="A7" s="2" t="n">
        <v>6</v>
      </c>
      <c r="B7" s="2" t="s">
        <v>11</v>
      </c>
      <c r="C7" s="2" t="s">
        <v>12</v>
      </c>
      <c r="D7" s="2" t="s">
        <v>31</v>
      </c>
      <c r="E7" s="2" t="s">
        <v>14</v>
      </c>
      <c r="F7" s="2" t="s">
        <v>32</v>
      </c>
      <c r="G7" s="2" t="s">
        <v>33</v>
      </c>
      <c r="H7" s="2" t="s">
        <v>34</v>
      </c>
      <c r="I7" s="2" t="s">
        <v>18</v>
      </c>
      <c r="J7" s="2"/>
      <c r="K7" s="2"/>
    </row>
    <row r="8" customFormat="false" ht="109.5" hidden="false" customHeight="true" outlineLevel="0" collapsed="false">
      <c r="A8" s="2" t="n">
        <v>7</v>
      </c>
      <c r="B8" s="2" t="s">
        <v>11</v>
      </c>
      <c r="C8" s="2" t="s">
        <v>12</v>
      </c>
      <c r="D8" s="2" t="s">
        <v>31</v>
      </c>
      <c r="E8" s="2" t="s">
        <v>14</v>
      </c>
      <c r="F8" s="2" t="s">
        <v>35</v>
      </c>
      <c r="G8" s="2" t="s">
        <v>36</v>
      </c>
      <c r="H8" s="2" t="s">
        <v>37</v>
      </c>
      <c r="I8" s="2" t="s">
        <v>18</v>
      </c>
      <c r="J8" s="2"/>
      <c r="K8" s="2"/>
    </row>
    <row r="9" customFormat="false" ht="109.5" hidden="false" customHeight="true" outlineLevel="0" collapsed="false">
      <c r="A9" s="2" t="n">
        <v>8</v>
      </c>
      <c r="B9" s="2" t="s">
        <v>11</v>
      </c>
      <c r="C9" s="2" t="s">
        <v>12</v>
      </c>
      <c r="D9" s="2" t="s">
        <v>31</v>
      </c>
      <c r="E9" s="2" t="s">
        <v>14</v>
      </c>
      <c r="F9" s="2" t="s">
        <v>38</v>
      </c>
      <c r="G9" s="2" t="s">
        <v>39</v>
      </c>
      <c r="H9" s="2" t="s">
        <v>40</v>
      </c>
      <c r="I9" s="2" t="s">
        <v>18</v>
      </c>
      <c r="J9" s="2"/>
      <c r="K9" s="2"/>
    </row>
    <row r="10" customFormat="false" ht="109.5" hidden="false" customHeight="true" outlineLevel="0" collapsed="false">
      <c r="A10" s="2" t="n">
        <v>9</v>
      </c>
      <c r="B10" s="2" t="s">
        <v>11</v>
      </c>
      <c r="C10" s="2" t="s">
        <v>12</v>
      </c>
      <c r="D10" s="2" t="s">
        <v>13</v>
      </c>
      <c r="E10" s="2" t="s">
        <v>41</v>
      </c>
      <c r="F10" s="2" t="s">
        <v>42</v>
      </c>
      <c r="G10" s="2" t="s">
        <v>43</v>
      </c>
      <c r="H10" s="2" t="s">
        <v>44</v>
      </c>
      <c r="I10" s="2" t="s">
        <v>45</v>
      </c>
      <c r="J10" s="2"/>
      <c r="K10" s="2"/>
    </row>
    <row r="11" customFormat="false" ht="109.5" hidden="false" customHeight="true" outlineLevel="0" collapsed="false">
      <c r="A11" s="2" t="n">
        <v>10</v>
      </c>
      <c r="B11" s="2" t="s">
        <v>11</v>
      </c>
      <c r="C11" s="2" t="s">
        <v>12</v>
      </c>
      <c r="D11" s="2" t="s">
        <v>13</v>
      </c>
      <c r="E11" s="2" t="s">
        <v>46</v>
      </c>
      <c r="F11" s="2" t="s">
        <v>47</v>
      </c>
      <c r="G11" s="2" t="s">
        <v>48</v>
      </c>
      <c r="H11" s="2" t="s">
        <v>49</v>
      </c>
      <c r="I11" s="2" t="s">
        <v>50</v>
      </c>
      <c r="J11" s="2"/>
      <c r="K11" s="2"/>
    </row>
    <row r="12" customFormat="false" ht="109.5" hidden="false" customHeight="true" outlineLevel="0" collapsed="false">
      <c r="A12" s="2" t="n">
        <v>11</v>
      </c>
      <c r="B12" s="2" t="s">
        <v>11</v>
      </c>
      <c r="C12" s="2" t="s">
        <v>12</v>
      </c>
      <c r="D12" s="2" t="s">
        <v>13</v>
      </c>
      <c r="E12" s="2" t="s">
        <v>51</v>
      </c>
      <c r="F12" s="2" t="s">
        <v>52</v>
      </c>
      <c r="G12" s="2" t="s">
        <v>53</v>
      </c>
      <c r="H12" s="2" t="s">
        <v>54</v>
      </c>
      <c r="I12" s="2" t="s">
        <v>55</v>
      </c>
      <c r="J12" s="2"/>
      <c r="K12" s="2"/>
    </row>
    <row r="13" customFormat="false" ht="109.5" hidden="false" customHeight="true" outlineLevel="0" collapsed="false">
      <c r="A13" s="2" t="n">
        <v>12</v>
      </c>
      <c r="B13" s="2" t="s">
        <v>11</v>
      </c>
      <c r="C13" s="2" t="s">
        <v>12</v>
      </c>
      <c r="D13" s="2" t="s">
        <v>13</v>
      </c>
      <c r="E13" s="2" t="s">
        <v>51</v>
      </c>
      <c r="F13" s="2" t="s">
        <v>56</v>
      </c>
      <c r="G13" s="2" t="s">
        <v>57</v>
      </c>
      <c r="H13" s="2" t="s">
        <v>58</v>
      </c>
      <c r="I13" s="2" t="s">
        <v>55</v>
      </c>
      <c r="J13" s="2"/>
      <c r="K13" s="2"/>
    </row>
    <row r="14" customFormat="false" ht="109.5" hidden="false" customHeight="true" outlineLevel="0" collapsed="false">
      <c r="A14" s="2" t="n">
        <v>13</v>
      </c>
      <c r="B14" s="2" t="s">
        <v>11</v>
      </c>
      <c r="C14" s="2" t="s">
        <v>12</v>
      </c>
      <c r="D14" s="2" t="s">
        <v>13</v>
      </c>
      <c r="E14" s="2" t="s">
        <v>59</v>
      </c>
      <c r="F14" s="2" t="s">
        <v>60</v>
      </c>
      <c r="G14" s="2" t="s">
        <v>61</v>
      </c>
      <c r="H14" s="2" t="s">
        <v>62</v>
      </c>
      <c r="I14" s="2" t="s">
        <v>63</v>
      </c>
      <c r="J14" s="2"/>
      <c r="K14" s="2"/>
    </row>
    <row r="15" customFormat="false" ht="109.5" hidden="false" customHeight="true" outlineLevel="0" collapsed="false">
      <c r="A15" s="2" t="n">
        <v>14</v>
      </c>
      <c r="B15" s="2" t="s">
        <v>11</v>
      </c>
      <c r="C15" s="2" t="s">
        <v>12</v>
      </c>
      <c r="D15" s="2" t="s">
        <v>64</v>
      </c>
      <c r="E15" s="2" t="s">
        <v>65</v>
      </c>
      <c r="F15" s="2" t="s">
        <v>66</v>
      </c>
      <c r="G15" s="2" t="s">
        <v>67</v>
      </c>
      <c r="H15" s="2" t="s">
        <v>68</v>
      </c>
      <c r="I15" s="2" t="s">
        <v>69</v>
      </c>
      <c r="J15" s="2"/>
      <c r="K15" s="2"/>
    </row>
    <row r="16" customFormat="false" ht="109.5" hidden="false" customHeight="true" outlineLevel="0" collapsed="false">
      <c r="A16" s="2" t="n">
        <v>15</v>
      </c>
      <c r="B16" s="2" t="s">
        <v>11</v>
      </c>
      <c r="C16" s="2" t="s">
        <v>12</v>
      </c>
      <c r="D16" s="2" t="s">
        <v>64</v>
      </c>
      <c r="E16" s="2" t="s">
        <v>65</v>
      </c>
      <c r="F16" s="2" t="s">
        <v>70</v>
      </c>
      <c r="G16" s="2" t="s">
        <v>71</v>
      </c>
      <c r="H16" s="2" t="s">
        <v>72</v>
      </c>
      <c r="I16" s="2" t="s">
        <v>69</v>
      </c>
      <c r="J16" s="2"/>
      <c r="K16" s="2"/>
    </row>
    <row r="17" customFormat="false" ht="109.5" hidden="false" customHeight="true" outlineLevel="0" collapsed="false">
      <c r="A17" s="2" t="n">
        <v>16</v>
      </c>
      <c r="B17" s="2" t="s">
        <v>11</v>
      </c>
      <c r="C17" s="2" t="s">
        <v>12</v>
      </c>
      <c r="D17" s="2" t="s">
        <v>64</v>
      </c>
      <c r="E17" s="2" t="s">
        <v>65</v>
      </c>
      <c r="F17" s="2" t="s">
        <v>73</v>
      </c>
      <c r="G17" s="2" t="s">
        <v>74</v>
      </c>
      <c r="H17" s="2" t="s">
        <v>75</v>
      </c>
      <c r="I17" s="2" t="s">
        <v>69</v>
      </c>
      <c r="J17" s="2"/>
      <c r="K17" s="2"/>
    </row>
    <row r="18" customFormat="false" ht="109.5" hidden="false" customHeight="true" outlineLevel="0" collapsed="false">
      <c r="A18" s="2" t="n">
        <v>17</v>
      </c>
      <c r="B18" s="2" t="s">
        <v>11</v>
      </c>
      <c r="C18" s="2" t="s">
        <v>12</v>
      </c>
      <c r="D18" s="2" t="s">
        <v>64</v>
      </c>
      <c r="E18" s="2" t="s">
        <v>76</v>
      </c>
      <c r="F18" s="2" t="s">
        <v>77</v>
      </c>
      <c r="G18" s="2" t="s">
        <v>78</v>
      </c>
      <c r="H18" s="2" t="s">
        <v>79</v>
      </c>
      <c r="I18" s="2" t="s">
        <v>80</v>
      </c>
      <c r="J18" s="2"/>
      <c r="K18" s="2"/>
    </row>
    <row r="19" customFormat="false" ht="109.5" hidden="false" customHeight="true" outlineLevel="0" collapsed="false">
      <c r="A19" s="2" t="n">
        <v>18</v>
      </c>
      <c r="B19" s="2" t="s">
        <v>11</v>
      </c>
      <c r="C19" s="2" t="s">
        <v>12</v>
      </c>
      <c r="D19" s="2" t="s">
        <v>31</v>
      </c>
      <c r="E19" s="2" t="s">
        <v>81</v>
      </c>
      <c r="F19" s="2" t="s">
        <v>82</v>
      </c>
      <c r="G19" s="2" t="s">
        <v>83</v>
      </c>
      <c r="H19" s="2" t="s">
        <v>84</v>
      </c>
      <c r="I19" s="2" t="s">
        <v>85</v>
      </c>
      <c r="J19" s="2"/>
      <c r="K19" s="2"/>
    </row>
    <row r="20" customFormat="false" ht="109.5" hidden="false" customHeight="true" outlineLevel="0" collapsed="false">
      <c r="A20" s="2" t="n">
        <v>19</v>
      </c>
      <c r="B20" s="2" t="s">
        <v>11</v>
      </c>
      <c r="C20" s="2" t="s">
        <v>12</v>
      </c>
      <c r="D20" s="2" t="s">
        <v>31</v>
      </c>
      <c r="E20" s="2" t="s">
        <v>86</v>
      </c>
      <c r="F20" s="2" t="s">
        <v>87</v>
      </c>
      <c r="G20" s="2" t="s">
        <v>88</v>
      </c>
      <c r="H20" s="2" t="s">
        <v>89</v>
      </c>
      <c r="I20" s="2" t="s">
        <v>90</v>
      </c>
      <c r="J20" s="2"/>
      <c r="K20" s="2"/>
    </row>
    <row r="21" customFormat="false" ht="109.5" hidden="false" customHeight="true" outlineLevel="0" collapsed="false">
      <c r="A21" s="2" t="n">
        <v>20</v>
      </c>
      <c r="B21" s="2" t="s">
        <v>11</v>
      </c>
      <c r="C21" s="2" t="s">
        <v>12</v>
      </c>
      <c r="D21" s="2" t="s">
        <v>31</v>
      </c>
      <c r="E21" s="2" t="s">
        <v>91</v>
      </c>
      <c r="F21" s="2" t="s">
        <v>92</v>
      </c>
      <c r="G21" s="2" t="s">
        <v>93</v>
      </c>
      <c r="H21" s="2" t="s">
        <v>94</v>
      </c>
      <c r="I21" s="2" t="s">
        <v>95</v>
      </c>
      <c r="J21" s="2"/>
      <c r="K21" s="2"/>
    </row>
    <row r="22" customFormat="false" ht="109.5" hidden="false" customHeight="true" outlineLevel="0" collapsed="false">
      <c r="A22" s="3" t="n">
        <v>21</v>
      </c>
      <c r="B22" s="3" t="s">
        <v>96</v>
      </c>
      <c r="C22" s="3" t="s">
        <v>97</v>
      </c>
      <c r="D22" s="3" t="s">
        <v>64</v>
      </c>
      <c r="E22" s="3" t="s">
        <v>98</v>
      </c>
      <c r="F22" s="3" t="s">
        <v>99</v>
      </c>
      <c r="G22" s="3" t="s">
        <v>100</v>
      </c>
      <c r="H22" s="3" t="s">
        <v>101</v>
      </c>
      <c r="I22" s="3" t="s">
        <v>102</v>
      </c>
      <c r="J22" s="3"/>
      <c r="K22" s="3"/>
    </row>
    <row r="23" customFormat="false" ht="109.5" hidden="false" customHeight="true" outlineLevel="0" collapsed="false">
      <c r="A23" s="3" t="n">
        <v>22</v>
      </c>
      <c r="B23" s="3" t="s">
        <v>96</v>
      </c>
      <c r="C23" s="3" t="s">
        <v>97</v>
      </c>
      <c r="D23" s="3" t="s">
        <v>103</v>
      </c>
      <c r="E23" s="3" t="s">
        <v>104</v>
      </c>
      <c r="F23" s="3" t="s">
        <v>105</v>
      </c>
      <c r="G23" s="3" t="s">
        <v>106</v>
      </c>
      <c r="H23" s="3" t="s">
        <v>107</v>
      </c>
      <c r="I23" s="3" t="s">
        <v>108</v>
      </c>
      <c r="J23" s="3"/>
      <c r="K23" s="3"/>
    </row>
    <row r="24" customFormat="false" ht="109.5" hidden="false" customHeight="true" outlineLevel="0" collapsed="false">
      <c r="A24" s="3" t="n">
        <v>23</v>
      </c>
      <c r="B24" s="3" t="s">
        <v>96</v>
      </c>
      <c r="C24" s="3" t="s">
        <v>97</v>
      </c>
      <c r="D24" s="3" t="s">
        <v>103</v>
      </c>
      <c r="E24" s="3" t="s">
        <v>109</v>
      </c>
      <c r="F24" s="3" t="s">
        <v>110</v>
      </c>
      <c r="G24" s="3" t="s">
        <v>111</v>
      </c>
      <c r="H24" s="3" t="s">
        <v>112</v>
      </c>
      <c r="I24" s="3" t="s">
        <v>113</v>
      </c>
      <c r="J24" s="3"/>
      <c r="K24" s="3"/>
    </row>
    <row r="25" customFormat="false" ht="109.5" hidden="false" customHeight="true" outlineLevel="0" collapsed="false">
      <c r="A25" s="3" t="n">
        <v>24</v>
      </c>
      <c r="B25" s="3" t="s">
        <v>96</v>
      </c>
      <c r="C25" s="3" t="s">
        <v>97</v>
      </c>
      <c r="D25" s="3" t="s">
        <v>103</v>
      </c>
      <c r="E25" s="3" t="s">
        <v>109</v>
      </c>
      <c r="F25" s="3" t="s">
        <v>114</v>
      </c>
      <c r="G25" s="3" t="s">
        <v>115</v>
      </c>
      <c r="H25" s="3" t="s">
        <v>116</v>
      </c>
      <c r="I25" s="3" t="s">
        <v>117</v>
      </c>
      <c r="J25" s="3"/>
      <c r="K25" s="3"/>
    </row>
    <row r="26" customFormat="false" ht="109.5" hidden="false" customHeight="true" outlineLevel="0" collapsed="false">
      <c r="A26" s="3" t="n">
        <v>25</v>
      </c>
      <c r="B26" s="3" t="s">
        <v>96</v>
      </c>
      <c r="C26" s="3" t="s">
        <v>97</v>
      </c>
      <c r="D26" s="3" t="s">
        <v>31</v>
      </c>
      <c r="E26" s="3" t="s">
        <v>109</v>
      </c>
      <c r="F26" s="3" t="s">
        <v>118</v>
      </c>
      <c r="G26" s="3" t="s">
        <v>119</v>
      </c>
      <c r="H26" s="3" t="s">
        <v>120</v>
      </c>
      <c r="I26" s="3" t="s">
        <v>121</v>
      </c>
      <c r="J26" s="3"/>
      <c r="K26" s="3"/>
    </row>
    <row r="27" customFormat="false" ht="109.5" hidden="false" customHeight="true" outlineLevel="0" collapsed="false">
      <c r="A27" s="3" t="n">
        <v>26</v>
      </c>
      <c r="B27" s="3" t="s">
        <v>96</v>
      </c>
      <c r="C27" s="3" t="s">
        <v>97</v>
      </c>
      <c r="D27" s="3" t="s">
        <v>31</v>
      </c>
      <c r="E27" s="3" t="s">
        <v>109</v>
      </c>
      <c r="F27" s="3" t="s">
        <v>122</v>
      </c>
      <c r="G27" s="3" t="s">
        <v>123</v>
      </c>
      <c r="H27" s="3" t="s">
        <v>124</v>
      </c>
      <c r="I27" s="3" t="s">
        <v>125</v>
      </c>
      <c r="J27" s="3"/>
      <c r="K27" s="3"/>
    </row>
    <row r="28" customFormat="false" ht="109.5" hidden="false" customHeight="true" outlineLevel="0" collapsed="false">
      <c r="A28" s="3" t="n">
        <v>27</v>
      </c>
      <c r="B28" s="3" t="s">
        <v>96</v>
      </c>
      <c r="C28" s="3" t="s">
        <v>97</v>
      </c>
      <c r="D28" s="3" t="s">
        <v>64</v>
      </c>
      <c r="E28" s="3" t="s">
        <v>126</v>
      </c>
      <c r="F28" s="3" t="s">
        <v>127</v>
      </c>
      <c r="G28" s="3" t="s">
        <v>128</v>
      </c>
      <c r="H28" s="3" t="s">
        <v>129</v>
      </c>
      <c r="I28" s="3" t="s">
        <v>130</v>
      </c>
      <c r="J28" s="3"/>
      <c r="K28" s="3"/>
    </row>
    <row r="29" customFormat="false" ht="109.5" hidden="false" customHeight="true" outlineLevel="0" collapsed="false">
      <c r="A29" s="3" t="n">
        <v>28</v>
      </c>
      <c r="B29" s="3" t="s">
        <v>96</v>
      </c>
      <c r="C29" s="3" t="s">
        <v>97</v>
      </c>
      <c r="D29" s="3" t="s">
        <v>64</v>
      </c>
      <c r="E29" s="3" t="s">
        <v>126</v>
      </c>
      <c r="F29" s="3" t="s">
        <v>131</v>
      </c>
      <c r="G29" s="3" t="s">
        <v>132</v>
      </c>
      <c r="H29" s="3" t="s">
        <v>133</v>
      </c>
      <c r="I29" s="3" t="s">
        <v>134</v>
      </c>
      <c r="J29" s="3"/>
      <c r="K29" s="3"/>
    </row>
    <row r="30" customFormat="false" ht="109.5" hidden="false" customHeight="true" outlineLevel="0" collapsed="false">
      <c r="A30" s="3" t="n">
        <v>29</v>
      </c>
      <c r="B30" s="3" t="s">
        <v>96</v>
      </c>
      <c r="C30" s="3" t="s">
        <v>97</v>
      </c>
      <c r="D30" s="3" t="s">
        <v>64</v>
      </c>
      <c r="E30" s="3" t="s">
        <v>135</v>
      </c>
      <c r="F30" s="3" t="s">
        <v>136</v>
      </c>
      <c r="G30" s="3" t="s">
        <v>137</v>
      </c>
      <c r="H30" s="3" t="s">
        <v>138</v>
      </c>
      <c r="I30" s="3" t="s">
        <v>139</v>
      </c>
      <c r="J30" s="3"/>
      <c r="K30" s="3"/>
    </row>
    <row r="31" customFormat="false" ht="109.5" hidden="false" customHeight="true" outlineLevel="0" collapsed="false">
      <c r="A31" s="3" t="n">
        <v>30</v>
      </c>
      <c r="B31" s="3" t="s">
        <v>96</v>
      </c>
      <c r="C31" s="3" t="s">
        <v>97</v>
      </c>
      <c r="D31" s="3" t="s">
        <v>64</v>
      </c>
      <c r="E31" s="3" t="s">
        <v>140</v>
      </c>
      <c r="F31" s="3" t="s">
        <v>141</v>
      </c>
      <c r="G31" s="3" t="s">
        <v>142</v>
      </c>
      <c r="H31" s="3" t="s">
        <v>143</v>
      </c>
      <c r="I31" s="3" t="s">
        <v>144</v>
      </c>
      <c r="J31" s="3"/>
      <c r="K31" s="3"/>
    </row>
    <row r="32" customFormat="false" ht="109.5" hidden="false" customHeight="true" outlineLevel="0" collapsed="false">
      <c r="A32" s="3" t="n">
        <v>31</v>
      </c>
      <c r="B32" s="3" t="s">
        <v>96</v>
      </c>
      <c r="C32" s="3" t="s">
        <v>97</v>
      </c>
      <c r="D32" s="3" t="s">
        <v>64</v>
      </c>
      <c r="E32" s="3" t="s">
        <v>145</v>
      </c>
      <c r="F32" s="3" t="s">
        <v>146</v>
      </c>
      <c r="G32" s="3" t="s">
        <v>147</v>
      </c>
      <c r="H32" s="3" t="s">
        <v>148</v>
      </c>
      <c r="I32" s="3" t="s">
        <v>149</v>
      </c>
      <c r="J32" s="3"/>
      <c r="K32" s="3"/>
    </row>
    <row r="33" customFormat="false" ht="109.5" hidden="false" customHeight="true" outlineLevel="0" collapsed="false">
      <c r="A33" s="3" t="n">
        <v>32</v>
      </c>
      <c r="B33" s="3" t="s">
        <v>96</v>
      </c>
      <c r="C33" s="3" t="s">
        <v>97</v>
      </c>
      <c r="D33" s="3" t="s">
        <v>64</v>
      </c>
      <c r="E33" s="3" t="s">
        <v>150</v>
      </c>
      <c r="F33" s="3" t="s">
        <v>151</v>
      </c>
      <c r="G33" s="3" t="s">
        <v>152</v>
      </c>
      <c r="H33" s="3" t="s">
        <v>153</v>
      </c>
      <c r="I33" s="3" t="s">
        <v>154</v>
      </c>
      <c r="J33" s="3"/>
      <c r="K33" s="3"/>
    </row>
    <row r="34" customFormat="false" ht="109.5" hidden="false" customHeight="true" outlineLevel="0" collapsed="false">
      <c r="A34" s="3" t="n">
        <v>33</v>
      </c>
      <c r="B34" s="3" t="s">
        <v>96</v>
      </c>
      <c r="C34" s="3" t="s">
        <v>97</v>
      </c>
      <c r="D34" s="3" t="s">
        <v>64</v>
      </c>
      <c r="E34" s="3" t="s">
        <v>155</v>
      </c>
      <c r="F34" s="3" t="s">
        <v>156</v>
      </c>
      <c r="G34" s="3" t="s">
        <v>157</v>
      </c>
      <c r="H34" s="3" t="s">
        <v>158</v>
      </c>
      <c r="I34" s="3" t="s">
        <v>159</v>
      </c>
      <c r="J34" s="3"/>
      <c r="K34" s="3"/>
    </row>
    <row r="35" customFormat="false" ht="109.5" hidden="false" customHeight="true" outlineLevel="0" collapsed="false">
      <c r="A35" s="3" t="n">
        <v>34</v>
      </c>
      <c r="B35" s="3" t="s">
        <v>96</v>
      </c>
      <c r="C35" s="3" t="s">
        <v>97</v>
      </c>
      <c r="D35" s="3" t="s">
        <v>31</v>
      </c>
      <c r="E35" s="3" t="s">
        <v>160</v>
      </c>
      <c r="F35" s="3" t="s">
        <v>161</v>
      </c>
      <c r="G35" s="3" t="s">
        <v>162</v>
      </c>
      <c r="H35" s="3" t="s">
        <v>163</v>
      </c>
      <c r="I35" s="3" t="s">
        <v>164</v>
      </c>
      <c r="J35" s="3"/>
      <c r="K35" s="3"/>
    </row>
    <row r="36" customFormat="false" ht="109.5" hidden="false" customHeight="true" outlineLevel="0" collapsed="false">
      <c r="A36" s="3" t="n">
        <v>35</v>
      </c>
      <c r="B36" s="3" t="s">
        <v>96</v>
      </c>
      <c r="C36" s="3" t="s">
        <v>97</v>
      </c>
      <c r="D36" s="3" t="s">
        <v>31</v>
      </c>
      <c r="E36" s="3" t="s">
        <v>126</v>
      </c>
      <c r="F36" s="3" t="s">
        <v>165</v>
      </c>
      <c r="G36" s="3" t="s">
        <v>166</v>
      </c>
      <c r="H36" s="3" t="s">
        <v>167</v>
      </c>
      <c r="I36" s="3" t="s">
        <v>168</v>
      </c>
      <c r="J36" s="3"/>
      <c r="K36" s="3"/>
    </row>
    <row r="37" customFormat="false" ht="109.5" hidden="false" customHeight="true" outlineLevel="0" collapsed="false">
      <c r="A37" s="3" t="n">
        <v>36</v>
      </c>
      <c r="B37" s="3" t="s">
        <v>96</v>
      </c>
      <c r="C37" s="3" t="s">
        <v>97</v>
      </c>
      <c r="D37" s="3" t="s">
        <v>13</v>
      </c>
      <c r="E37" s="3" t="s">
        <v>169</v>
      </c>
      <c r="F37" s="3" t="s">
        <v>170</v>
      </c>
      <c r="G37" s="3" t="s">
        <v>171</v>
      </c>
      <c r="H37" s="3" t="s">
        <v>172</v>
      </c>
      <c r="I37" s="3" t="s">
        <v>173</v>
      </c>
      <c r="J37" s="3"/>
      <c r="K37" s="3"/>
    </row>
    <row r="38" customFormat="false" ht="109.5" hidden="false" customHeight="true" outlineLevel="0" collapsed="false">
      <c r="A38" s="3" t="n">
        <v>37</v>
      </c>
      <c r="B38" s="3" t="s">
        <v>96</v>
      </c>
      <c r="C38" s="3" t="s">
        <v>97</v>
      </c>
      <c r="D38" s="3" t="s">
        <v>31</v>
      </c>
      <c r="E38" s="3" t="s">
        <v>174</v>
      </c>
      <c r="F38" s="3" t="s">
        <v>175</v>
      </c>
      <c r="G38" s="3" t="s">
        <v>176</v>
      </c>
      <c r="H38" s="3" t="s">
        <v>177</v>
      </c>
      <c r="I38" s="3" t="s">
        <v>178</v>
      </c>
      <c r="J38" s="3"/>
      <c r="K38" s="3"/>
    </row>
    <row r="39" customFormat="false" ht="109.5" hidden="false" customHeight="true" outlineLevel="0" collapsed="false">
      <c r="A39" s="3" t="n">
        <v>38</v>
      </c>
      <c r="B39" s="3" t="s">
        <v>96</v>
      </c>
      <c r="C39" s="3" t="s">
        <v>97</v>
      </c>
      <c r="D39" s="3" t="s">
        <v>103</v>
      </c>
      <c r="E39" s="3" t="s">
        <v>179</v>
      </c>
      <c r="F39" s="3" t="s">
        <v>180</v>
      </c>
      <c r="G39" s="3" t="s">
        <v>181</v>
      </c>
      <c r="H39" s="3" t="s">
        <v>182</v>
      </c>
      <c r="I39" s="3" t="s">
        <v>183</v>
      </c>
      <c r="J39" s="3"/>
      <c r="K39" s="3"/>
    </row>
    <row r="40" customFormat="false" ht="109.5" hidden="false" customHeight="true" outlineLevel="0" collapsed="false">
      <c r="A40" s="3" t="n">
        <v>39</v>
      </c>
      <c r="B40" s="3" t="s">
        <v>96</v>
      </c>
      <c r="C40" s="3" t="s">
        <v>97</v>
      </c>
      <c r="D40" s="3" t="s">
        <v>31</v>
      </c>
      <c r="E40" s="3" t="s">
        <v>160</v>
      </c>
      <c r="F40" s="3" t="s">
        <v>184</v>
      </c>
      <c r="G40" s="3" t="s">
        <v>185</v>
      </c>
      <c r="H40" s="3" t="s">
        <v>186</v>
      </c>
      <c r="I40" s="3" t="s">
        <v>187</v>
      </c>
      <c r="J40" s="3"/>
      <c r="K40" s="3"/>
    </row>
    <row r="41" customFormat="false" ht="109.5" hidden="false" customHeight="true" outlineLevel="0" collapsed="false">
      <c r="A41" s="4" t="n">
        <v>40</v>
      </c>
      <c r="B41" s="4" t="s">
        <v>188</v>
      </c>
      <c r="C41" s="4" t="s">
        <v>189</v>
      </c>
      <c r="D41" s="4" t="s">
        <v>64</v>
      </c>
      <c r="E41" s="4" t="s">
        <v>190</v>
      </c>
      <c r="F41" s="4" t="s">
        <v>191</v>
      </c>
      <c r="G41" s="4" t="s">
        <v>192</v>
      </c>
      <c r="H41" s="4" t="s">
        <v>193</v>
      </c>
      <c r="I41" s="4" t="s">
        <v>190</v>
      </c>
      <c r="J41" s="4"/>
      <c r="K41" s="4"/>
    </row>
    <row r="42" customFormat="false" ht="109.5" hidden="false" customHeight="true" outlineLevel="0" collapsed="false">
      <c r="A42" s="4" t="n">
        <v>41</v>
      </c>
      <c r="B42" s="4" t="s">
        <v>188</v>
      </c>
      <c r="C42" s="4" t="s">
        <v>189</v>
      </c>
      <c r="D42" s="4" t="s">
        <v>64</v>
      </c>
      <c r="E42" s="4" t="s">
        <v>194</v>
      </c>
      <c r="F42" s="4" t="s">
        <v>195</v>
      </c>
      <c r="G42" s="4" t="s">
        <v>196</v>
      </c>
      <c r="H42" s="4" t="s">
        <v>197</v>
      </c>
      <c r="I42" s="4" t="s">
        <v>198</v>
      </c>
      <c r="J42" s="4"/>
      <c r="K42" s="4"/>
    </row>
    <row r="43" customFormat="false" ht="109.5" hidden="false" customHeight="true" outlineLevel="0" collapsed="false">
      <c r="A43" s="4" t="n">
        <v>42</v>
      </c>
      <c r="B43" s="4" t="s">
        <v>188</v>
      </c>
      <c r="C43" s="4" t="s">
        <v>189</v>
      </c>
      <c r="D43" s="4" t="s">
        <v>13</v>
      </c>
      <c r="E43" s="4" t="s">
        <v>199</v>
      </c>
      <c r="F43" s="4" t="s">
        <v>200</v>
      </c>
      <c r="G43" s="4" t="s">
        <v>201</v>
      </c>
      <c r="H43" s="4" t="s">
        <v>202</v>
      </c>
      <c r="I43" s="4" t="s">
        <v>203</v>
      </c>
      <c r="J43" s="4"/>
      <c r="K43" s="4"/>
    </row>
    <row r="44" customFormat="false" ht="109.5" hidden="false" customHeight="true" outlineLevel="0" collapsed="false">
      <c r="A44" s="4" t="n">
        <v>43</v>
      </c>
      <c r="B44" s="4" t="s">
        <v>188</v>
      </c>
      <c r="C44" s="4" t="s">
        <v>189</v>
      </c>
      <c r="D44" s="4" t="s">
        <v>13</v>
      </c>
      <c r="E44" s="4" t="s">
        <v>204</v>
      </c>
      <c r="F44" s="4" t="s">
        <v>205</v>
      </c>
      <c r="G44" s="4" t="s">
        <v>206</v>
      </c>
      <c r="H44" s="4" t="s">
        <v>207</v>
      </c>
      <c r="I44" s="4" t="s">
        <v>208</v>
      </c>
      <c r="J44" s="4"/>
      <c r="K44" s="4"/>
    </row>
    <row r="45" customFormat="false" ht="109.5" hidden="false" customHeight="true" outlineLevel="0" collapsed="false">
      <c r="A45" s="4" t="n">
        <v>44</v>
      </c>
      <c r="B45" s="4" t="s">
        <v>188</v>
      </c>
      <c r="C45" s="4" t="s">
        <v>189</v>
      </c>
      <c r="D45" s="4" t="s">
        <v>13</v>
      </c>
      <c r="E45" s="4" t="s">
        <v>209</v>
      </c>
      <c r="F45" s="4" t="s">
        <v>210</v>
      </c>
      <c r="G45" s="4" t="s">
        <v>211</v>
      </c>
      <c r="H45" s="4" t="s">
        <v>212</v>
      </c>
      <c r="I45" s="4" t="s">
        <v>213</v>
      </c>
      <c r="J45" s="4"/>
      <c r="K45" s="4"/>
    </row>
    <row r="46" customFormat="false" ht="109.5" hidden="false" customHeight="true" outlineLevel="0" collapsed="false">
      <c r="A46" s="4" t="n">
        <v>45</v>
      </c>
      <c r="B46" s="4" t="s">
        <v>188</v>
      </c>
      <c r="C46" s="4" t="s">
        <v>189</v>
      </c>
      <c r="D46" s="4" t="s">
        <v>13</v>
      </c>
      <c r="E46" s="4" t="s">
        <v>214</v>
      </c>
      <c r="F46" s="4" t="s">
        <v>215</v>
      </c>
      <c r="G46" s="4" t="s">
        <v>216</v>
      </c>
      <c r="H46" s="4" t="s">
        <v>217</v>
      </c>
      <c r="I46" s="4" t="s">
        <v>218</v>
      </c>
      <c r="J46" s="4"/>
      <c r="K46" s="4"/>
    </row>
    <row r="47" customFormat="false" ht="109.5" hidden="false" customHeight="true" outlineLevel="0" collapsed="false">
      <c r="A47" s="4" t="n">
        <v>46</v>
      </c>
      <c r="B47" s="4" t="s">
        <v>188</v>
      </c>
      <c r="C47" s="4" t="s">
        <v>189</v>
      </c>
      <c r="D47" s="4" t="s">
        <v>13</v>
      </c>
      <c r="E47" s="4" t="s">
        <v>219</v>
      </c>
      <c r="F47" s="4" t="s">
        <v>220</v>
      </c>
      <c r="G47" s="4" t="s">
        <v>221</v>
      </c>
      <c r="H47" s="4" t="s">
        <v>222</v>
      </c>
      <c r="I47" s="4" t="s">
        <v>223</v>
      </c>
      <c r="J47" s="4"/>
      <c r="K47" s="4"/>
    </row>
    <row r="48" customFormat="false" ht="109.5" hidden="false" customHeight="true" outlineLevel="0" collapsed="false">
      <c r="A48" s="4" t="n">
        <v>47</v>
      </c>
      <c r="B48" s="4" t="s">
        <v>188</v>
      </c>
      <c r="C48" s="4" t="s">
        <v>189</v>
      </c>
      <c r="D48" s="4" t="s">
        <v>64</v>
      </c>
      <c r="E48" s="4" t="s">
        <v>224</v>
      </c>
      <c r="F48" s="4" t="s">
        <v>225</v>
      </c>
      <c r="G48" s="4" t="s">
        <v>226</v>
      </c>
      <c r="H48" s="4" t="s">
        <v>227</v>
      </c>
      <c r="I48" s="4" t="s">
        <v>224</v>
      </c>
      <c r="J48" s="4"/>
      <c r="K48" s="4"/>
    </row>
    <row r="49" customFormat="false" ht="109.5" hidden="false" customHeight="true" outlineLevel="0" collapsed="false">
      <c r="A49" s="4" t="n">
        <v>48</v>
      </c>
      <c r="B49" s="4" t="s">
        <v>188</v>
      </c>
      <c r="C49" s="4" t="s">
        <v>189</v>
      </c>
      <c r="D49" s="4" t="s">
        <v>64</v>
      </c>
      <c r="E49" s="4" t="s">
        <v>228</v>
      </c>
      <c r="F49" s="4" t="s">
        <v>229</v>
      </c>
      <c r="G49" s="4" t="s">
        <v>230</v>
      </c>
      <c r="H49" s="4" t="s">
        <v>231</v>
      </c>
      <c r="I49" s="4" t="s">
        <v>228</v>
      </c>
      <c r="J49" s="4"/>
      <c r="K49" s="4"/>
    </row>
    <row r="50" customFormat="false" ht="109.5" hidden="false" customHeight="true" outlineLevel="0" collapsed="false">
      <c r="A50" s="4" t="n">
        <v>49</v>
      </c>
      <c r="B50" s="4" t="s">
        <v>188</v>
      </c>
      <c r="C50" s="4" t="s">
        <v>189</v>
      </c>
      <c r="D50" s="4" t="s">
        <v>13</v>
      </c>
      <c r="E50" s="4" t="s">
        <v>232</v>
      </c>
      <c r="F50" s="4" t="s">
        <v>233</v>
      </c>
      <c r="G50" s="4" t="s">
        <v>234</v>
      </c>
      <c r="H50" s="4" t="s">
        <v>235</v>
      </c>
      <c r="I50" s="4" t="s">
        <v>236</v>
      </c>
      <c r="J50" s="4"/>
      <c r="K50" s="4"/>
    </row>
    <row r="51" customFormat="false" ht="109.5" hidden="false" customHeight="true" outlineLevel="0" collapsed="false">
      <c r="A51" s="4" t="n">
        <v>50</v>
      </c>
      <c r="B51" s="4" t="s">
        <v>188</v>
      </c>
      <c r="C51" s="4" t="s">
        <v>189</v>
      </c>
      <c r="D51" s="4" t="s">
        <v>13</v>
      </c>
      <c r="E51" s="4" t="s">
        <v>237</v>
      </c>
      <c r="F51" s="4" t="s">
        <v>238</v>
      </c>
      <c r="G51" s="4" t="s">
        <v>239</v>
      </c>
      <c r="H51" s="4" t="s">
        <v>240</v>
      </c>
      <c r="I51" s="4" t="s">
        <v>241</v>
      </c>
      <c r="J51" s="4"/>
      <c r="K51" s="4"/>
    </row>
    <row r="52" customFormat="false" ht="109.5" hidden="false" customHeight="true" outlineLevel="0" collapsed="false">
      <c r="A52" s="4" t="n">
        <v>51</v>
      </c>
      <c r="B52" s="4" t="s">
        <v>188</v>
      </c>
      <c r="C52" s="4" t="s">
        <v>189</v>
      </c>
      <c r="D52" s="4" t="s">
        <v>13</v>
      </c>
      <c r="E52" s="4" t="s">
        <v>242</v>
      </c>
      <c r="F52" s="4" t="s">
        <v>243</v>
      </c>
      <c r="G52" s="4" t="s">
        <v>244</v>
      </c>
      <c r="H52" s="4" t="s">
        <v>245</v>
      </c>
      <c r="I52" s="4" t="s">
        <v>246</v>
      </c>
      <c r="J52" s="4"/>
      <c r="K52" s="4"/>
    </row>
    <row r="53" customFormat="false" ht="109.5" hidden="false" customHeight="true" outlineLevel="0" collapsed="false">
      <c r="A53" s="4" t="n">
        <v>52</v>
      </c>
      <c r="B53" s="4" t="s">
        <v>188</v>
      </c>
      <c r="C53" s="4" t="s">
        <v>189</v>
      </c>
      <c r="D53" s="4" t="s">
        <v>13</v>
      </c>
      <c r="E53" s="4" t="s">
        <v>247</v>
      </c>
      <c r="F53" s="4" t="s">
        <v>248</v>
      </c>
      <c r="G53" s="4" t="s">
        <v>249</v>
      </c>
      <c r="H53" s="4" t="s">
        <v>250</v>
      </c>
      <c r="I53" s="4" t="s">
        <v>251</v>
      </c>
      <c r="J53" s="4"/>
      <c r="K53" s="4"/>
    </row>
    <row r="54" customFormat="false" ht="109.5" hidden="false" customHeight="true" outlineLevel="0" collapsed="false">
      <c r="A54" s="4" t="n">
        <v>53</v>
      </c>
      <c r="B54" s="4" t="s">
        <v>188</v>
      </c>
      <c r="C54" s="4" t="s">
        <v>189</v>
      </c>
      <c r="D54" s="4" t="s">
        <v>13</v>
      </c>
      <c r="E54" s="4" t="s">
        <v>252</v>
      </c>
      <c r="F54" s="4" t="s">
        <v>253</v>
      </c>
      <c r="G54" s="4" t="s">
        <v>254</v>
      </c>
      <c r="H54" s="4" t="s">
        <v>255</v>
      </c>
      <c r="I54" s="4" t="s">
        <v>256</v>
      </c>
      <c r="J54" s="4"/>
      <c r="K54" s="4"/>
    </row>
    <row r="55" customFormat="false" ht="109.5" hidden="false" customHeight="true" outlineLevel="0" collapsed="false">
      <c r="A55" s="4" t="n">
        <v>54</v>
      </c>
      <c r="B55" s="4" t="s">
        <v>188</v>
      </c>
      <c r="C55" s="4" t="s">
        <v>189</v>
      </c>
      <c r="D55" s="4" t="s">
        <v>13</v>
      </c>
      <c r="E55" s="4" t="s">
        <v>257</v>
      </c>
      <c r="F55" s="4" t="s">
        <v>258</v>
      </c>
      <c r="G55" s="4" t="s">
        <v>259</v>
      </c>
      <c r="H55" s="4" t="s">
        <v>260</v>
      </c>
      <c r="I55" s="4" t="s">
        <v>261</v>
      </c>
      <c r="J55" s="4"/>
      <c r="K55" s="4"/>
    </row>
    <row r="56" customFormat="false" ht="109.5" hidden="false" customHeight="true" outlineLevel="0" collapsed="false">
      <c r="A56" s="4" t="n">
        <v>55</v>
      </c>
      <c r="B56" s="4" t="s">
        <v>188</v>
      </c>
      <c r="C56" s="4" t="s">
        <v>189</v>
      </c>
      <c r="D56" s="4" t="s">
        <v>13</v>
      </c>
      <c r="E56" s="4" t="s">
        <v>262</v>
      </c>
      <c r="F56" s="4" t="s">
        <v>263</v>
      </c>
      <c r="G56" s="4" t="s">
        <v>264</v>
      </c>
      <c r="H56" s="4" t="s">
        <v>265</v>
      </c>
      <c r="I56" s="4" t="s">
        <v>266</v>
      </c>
      <c r="J56" s="4"/>
      <c r="K56" s="4"/>
    </row>
    <row r="57" customFormat="false" ht="109.5" hidden="false" customHeight="true" outlineLevel="0" collapsed="false">
      <c r="A57" s="4" t="n">
        <v>56</v>
      </c>
      <c r="B57" s="4" t="s">
        <v>188</v>
      </c>
      <c r="C57" s="4" t="s">
        <v>189</v>
      </c>
      <c r="D57" s="4" t="s">
        <v>13</v>
      </c>
      <c r="E57" s="4" t="s">
        <v>267</v>
      </c>
      <c r="F57" s="4" t="s">
        <v>268</v>
      </c>
      <c r="G57" s="4" t="s">
        <v>269</v>
      </c>
      <c r="H57" s="4" t="s">
        <v>270</v>
      </c>
      <c r="I57" s="4" t="s">
        <v>271</v>
      </c>
      <c r="J57" s="4"/>
      <c r="K57" s="4"/>
    </row>
    <row r="58" customFormat="false" ht="109.5" hidden="false" customHeight="true" outlineLevel="0" collapsed="false">
      <c r="A58" s="4" t="n">
        <v>57</v>
      </c>
      <c r="B58" s="4" t="s">
        <v>188</v>
      </c>
      <c r="C58" s="4" t="s">
        <v>189</v>
      </c>
      <c r="D58" s="4" t="s">
        <v>13</v>
      </c>
      <c r="E58" s="4" t="s">
        <v>272</v>
      </c>
      <c r="F58" s="4" t="s">
        <v>273</v>
      </c>
      <c r="G58" s="4" t="s">
        <v>274</v>
      </c>
      <c r="H58" s="4" t="s">
        <v>275</v>
      </c>
      <c r="I58" s="4" t="s">
        <v>276</v>
      </c>
      <c r="J58" s="4"/>
      <c r="K58" s="4"/>
    </row>
    <row r="59" customFormat="false" ht="109.5" hidden="false" customHeight="true" outlineLevel="0" collapsed="false">
      <c r="A59" s="4" t="n">
        <v>58</v>
      </c>
      <c r="B59" s="4" t="s">
        <v>188</v>
      </c>
      <c r="C59" s="4" t="s">
        <v>189</v>
      </c>
      <c r="D59" s="4" t="s">
        <v>13</v>
      </c>
      <c r="E59" s="4" t="s">
        <v>277</v>
      </c>
      <c r="F59" s="4" t="s">
        <v>278</v>
      </c>
      <c r="G59" s="4" t="s">
        <v>279</v>
      </c>
      <c r="H59" s="4" t="s">
        <v>280</v>
      </c>
      <c r="I59" s="4" t="s">
        <v>281</v>
      </c>
      <c r="J59" s="4"/>
      <c r="K59" s="4"/>
    </row>
    <row r="60" customFormat="false" ht="109.5" hidden="false" customHeight="true" outlineLevel="0" collapsed="false">
      <c r="A60" s="4" t="n">
        <v>59</v>
      </c>
      <c r="B60" s="4" t="s">
        <v>188</v>
      </c>
      <c r="C60" s="4" t="s">
        <v>189</v>
      </c>
      <c r="D60" s="4" t="s">
        <v>31</v>
      </c>
      <c r="E60" s="4" t="s">
        <v>282</v>
      </c>
      <c r="F60" s="4" t="s">
        <v>283</v>
      </c>
      <c r="G60" s="4" t="s">
        <v>284</v>
      </c>
      <c r="H60" s="4" t="s">
        <v>285</v>
      </c>
      <c r="I60" s="4" t="s">
        <v>286</v>
      </c>
      <c r="J60" s="4"/>
      <c r="K60" s="4"/>
    </row>
  </sheetData>
  <dataValidations count="1">
    <dataValidation allowBlank="true" errorStyle="stop" operator="between" showDropDown="false" showErrorMessage="false" showInputMessage="false" sqref="J2:J60" type="list">
      <formula1>"behouden,aanpassen,verwijderen"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12"/>
    <col collapsed="false" customWidth="true" hidden="false" outlineLevel="0" max="4" min="4" style="0" width="14"/>
  </cols>
  <sheetData>
    <row r="1" customFormat="false" ht="15" hidden="false" customHeight="false" outlineLevel="0" collapsed="false">
      <c r="A1" s="5" t="s">
        <v>1</v>
      </c>
      <c r="B1" s="5" t="s">
        <v>287</v>
      </c>
      <c r="C1" s="5" t="s">
        <v>288</v>
      </c>
      <c r="D1" s="5" t="s">
        <v>289</v>
      </c>
      <c r="E1" s="5" t="s">
        <v>290</v>
      </c>
    </row>
    <row r="2" customFormat="false" ht="15" hidden="false" customHeight="false" outlineLevel="0" collapsed="false">
      <c r="A2" s="6" t="s">
        <v>291</v>
      </c>
      <c r="B2" s="6" t="n">
        <f aca="false">COUNTIFS('Kaarten review'!B:B,"01",'Kaarten review'!J:J,"behouden")</f>
        <v>0</v>
      </c>
      <c r="C2" s="6" t="n">
        <f aca="false">COUNTIFS('Kaarten review'!B:B,"01",'Kaarten review'!J:J,"aanpassen")</f>
        <v>0</v>
      </c>
      <c r="D2" s="6" t="n">
        <f aca="false">COUNTIFS('Kaarten review'!B:B,"01",'Kaarten review'!J:J,"verwijderen")</f>
        <v>0</v>
      </c>
      <c r="E2" s="6" t="n">
        <f aca="false">COUNTIF('Kaarten review'!B:B,"01")</f>
        <v>20</v>
      </c>
    </row>
    <row r="3" customFormat="false" ht="15" hidden="false" customHeight="false" outlineLevel="0" collapsed="false">
      <c r="A3" s="6" t="s">
        <v>292</v>
      </c>
      <c r="B3" s="6" t="n">
        <f aca="false">COUNTIFS('Kaarten review'!B:B,"02",'Kaarten review'!J:J,"behouden")</f>
        <v>0</v>
      </c>
      <c r="C3" s="6" t="n">
        <f aca="false">COUNTIFS('Kaarten review'!B:B,"02",'Kaarten review'!J:J,"aanpassen")</f>
        <v>0</v>
      </c>
      <c r="D3" s="6" t="n">
        <f aca="false">COUNTIFS('Kaarten review'!B:B,"02",'Kaarten review'!J:J,"verwijderen")</f>
        <v>0</v>
      </c>
      <c r="E3" s="6" t="n">
        <f aca="false">COUNTIF('Kaarten review'!B:B,"02")</f>
        <v>19</v>
      </c>
    </row>
    <row r="4" customFormat="false" ht="15" hidden="false" customHeight="false" outlineLevel="0" collapsed="false">
      <c r="A4" s="6" t="s">
        <v>293</v>
      </c>
      <c r="B4" s="6" t="n">
        <f aca="false">COUNTIFS('Kaarten review'!B:B,"05",'Kaarten review'!J:J,"behouden")</f>
        <v>0</v>
      </c>
      <c r="C4" s="6" t="n">
        <f aca="false">COUNTIFS('Kaarten review'!B:B,"05",'Kaarten review'!J:J,"aanpassen")</f>
        <v>0</v>
      </c>
      <c r="D4" s="6" t="n">
        <f aca="false">COUNTIFS('Kaarten review'!B:B,"05",'Kaarten review'!J:J,"verwijderen")</f>
        <v>0</v>
      </c>
      <c r="E4" s="6" t="n">
        <f aca="false">COUNTIF('Kaarten review'!B:B,"05")</f>
        <v>20</v>
      </c>
    </row>
    <row r="5" customFormat="false" ht="15" hidden="false" customHeight="false" outlineLevel="0" collapsed="false">
      <c r="A5" s="7" t="s">
        <v>294</v>
      </c>
      <c r="B5" s="7" t="n">
        <f aca="false">SUM(B2:B4)</f>
        <v>0</v>
      </c>
      <c r="C5" s="7" t="n">
        <f aca="false">SUM(C2:C4)</f>
        <v>0</v>
      </c>
      <c r="D5" s="7" t="n">
        <f aca="false">SUM(D2:D4)</f>
        <v>0</v>
      </c>
      <c r="E5" s="7" t="n">
        <f aca="false">SUM(E2:E4)</f>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2026-04-19T10:53:13Z</dcterms:created>
  <dc:creator>openpyxl</dc:creator>
  <dc:description/>
  <dc:language>en-US</dc:language>
  <cp:lastModifiedBy/>
  <dcterms:modified xsi:type="dcterms:W3CDTF">2026-04-19T10:53:13Z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