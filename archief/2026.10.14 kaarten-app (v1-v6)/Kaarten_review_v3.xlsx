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arten review" sheetId="1" state="visible" r:id="rId1"/>
    <sheet xmlns:r="http://schemas.openxmlformats.org/officeDocument/2006/relationships" name="Samenvatting"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D4B878"/>
      <sz val="11"/>
    </font>
    <font>
      <name val="Calibri"/>
      <sz val="10"/>
    </font>
    <font>
      <name val="Calibri"/>
      <b val="1"/>
      <color rgb="000A0A0C"/>
      <sz val="14"/>
    </font>
    <font>
      <name val="Calibri"/>
      <b val="1"/>
      <sz val="11"/>
    </font>
    <font>
      <name val="Calibri"/>
      <sz val="11"/>
    </font>
  </fonts>
  <fills count="12">
    <fill>
      <patternFill/>
    </fill>
    <fill>
      <patternFill patternType="gray125"/>
    </fill>
    <fill>
      <patternFill patternType="solid">
        <fgColor rgb="000A0A0C"/>
      </patternFill>
    </fill>
    <fill>
      <patternFill patternType="solid">
        <fgColor rgb="00F5EBDE"/>
      </patternFill>
    </fill>
    <fill>
      <patternFill patternType="solid">
        <fgColor rgb="00DBE7F2"/>
      </patternFill>
    </fill>
    <fill>
      <patternFill patternType="solid">
        <fgColor rgb="00F4E1E1"/>
      </patternFill>
    </fill>
    <fill>
      <patternFill patternType="solid">
        <fgColor rgb="00DDEDD8"/>
      </patternFill>
    </fill>
    <fill>
      <patternFill patternType="solid">
        <fgColor rgb="00EDE5F2"/>
      </patternFill>
    </fill>
    <fill>
      <patternFill patternType="solid">
        <fgColor rgb="00FBF2CC"/>
      </patternFill>
    </fill>
    <fill>
      <patternFill patternType="solid">
        <fgColor rgb="00E1F0F0"/>
      </patternFill>
    </fill>
    <fill>
      <patternFill patternType="solid">
        <fgColor rgb="00F0DDD8"/>
      </patternFill>
    </fill>
    <fill>
      <patternFill patternType="solid">
        <fgColor rgb="00E5E5E5"/>
      </patternFill>
    </fill>
  </fills>
  <borders count="2">
    <border>
      <left/>
      <right/>
      <top/>
      <bottom/>
      <diagonal/>
    </border>
    <border>
      <left style="thin">
        <color rgb="00D4D4D8"/>
      </left>
      <right style="thin">
        <color rgb="00D4D4D8"/>
      </right>
      <top style="thin">
        <color rgb="00D4D4D8"/>
      </top>
      <bottom style="thin">
        <color rgb="00D4D4D8"/>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8"/>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32" customWidth="1" min="3" max="3"/>
    <col width="14" customWidth="1" min="4" max="4"/>
    <col width="44" customWidth="1" min="5" max="5"/>
    <col width="44" customWidth="1" min="6" max="6"/>
    <col width="60" customWidth="1" min="7" max="7"/>
    <col width="40" customWidth="1" min="8" max="8"/>
    <col width="22" customWidth="1" min="9" max="9"/>
    <col width="14" customWidth="1" min="10" max="10"/>
    <col width="32" customWidth="1" min="11" max="11"/>
  </cols>
  <sheetData>
    <row r="1">
      <c r="A1" s="1" t="inlineStr">
        <is>
          <t>ID</t>
        </is>
      </c>
      <c r="B1" s="1" t="inlineStr">
        <is>
          <t>Module</t>
        </is>
      </c>
      <c r="C1" s="1" t="inlineStr">
        <is>
          <t>Bron</t>
        </is>
      </c>
      <c r="D1" s="1" t="inlineStr">
        <is>
          <t>Type</t>
        </is>
      </c>
      <c r="E1" s="1" t="inlineStr">
        <is>
          <t>Vraag</t>
        </is>
      </c>
      <c r="F1" s="1" t="inlineStr">
        <is>
          <t>Antwoord</t>
        </is>
      </c>
      <c r="G1" s="1" t="inlineStr">
        <is>
          <t>Citaat</t>
        </is>
      </c>
      <c r="H1" s="1" t="inlineStr">
        <is>
          <t>Context</t>
        </is>
      </c>
      <c r="I1" s="1" t="inlineStr">
        <is>
          <t>Vindplaats</t>
        </is>
      </c>
      <c r="J1" s="1" t="inlineStr">
        <is>
          <t>Oordeel</t>
        </is>
      </c>
      <c r="K1" s="1" t="inlineStr">
        <is>
          <t>Opmerking</t>
        </is>
      </c>
    </row>
    <row r="2" ht="96" customHeight="1">
      <c r="A2" s="2" t="inlineStr">
        <is>
          <t>card_001</t>
        </is>
      </c>
      <c r="B2" s="2" t="inlineStr">
        <is>
          <t>01</t>
        </is>
      </c>
      <c r="C2" s="2" t="inlineStr">
        <is>
          <t>Groningenveld (HR 19 juli 2019)</t>
        </is>
      </c>
      <c r="D2" s="2" t="inlineStr">
        <is>
          <t>arrest</t>
        </is>
      </c>
      <c r="E2" s="2" t="inlineStr">
        <is>
          <t>Kan een benadeelde zijn vordering uit hoofde van mijnbouwschade óók op art. 6:162 BW baseren, terwijl er een risicoaansprakelijkheid op grond van art. 6:177 BW beschikbaar is?</t>
        </is>
      </c>
      <c r="F2" s="2" t="inlineStr">
        <is>
          <t>Ja. Ondanks de ruime toerekening die plaatsvindt bij aansprakelijkheid op grond van art. 6:177 BW, kan de vordering (ook) op grond van art. 6:162 BW worden beoordeeld wanneer dat voor de benadeelde tot een gunstiger resultaat leidt. De twee grondslagen sluiten elkaar niet uit.</t>
        </is>
      </c>
      <c r="G2" s="2" t="inlineStr">
        <is>
          <t>Ondanks de ruime toerekening die plaatsvindt bij aansprakelijkheid op grond van art. 6:177 BW, kunnen zich gevallen voordoen waarin het voor de benadeelde tot een gunstiger resultaat leidt als zijn vordering niet (of niet alleen) op grond van art. 6:177 BW, maar (ook) op grond van art. 6:162 BW wordt beoordeeld.</t>
        </is>
      </c>
      <c r="H2" s="2" t="inlineStr">
        <is>
          <t>Kern van het Groningenveld-arrest: samenloop tussen risico- en schuldaansprakelijkheid bij aardbevingsschade door gaswinning.</t>
        </is>
      </c>
      <c r="I2" s="2" t="inlineStr">
        <is>
          <t>HR 19 juli 2019, ECLI:NL:HR:2019:1278, NJ 2020/391 (Groningenveld)</t>
        </is>
      </c>
      <c r="J2" s="2" t="inlineStr"/>
      <c r="K2" s="2" t="inlineStr"/>
    </row>
    <row r="3" ht="96" customHeight="1">
      <c r="A3" s="2" t="inlineStr">
        <is>
          <t>card_002</t>
        </is>
      </c>
      <c r="B3" s="2" t="inlineStr">
        <is>
          <t>01</t>
        </is>
      </c>
      <c r="C3" s="2" t="inlineStr">
        <is>
          <t>Groningenveld (HR 19 juli 2019)</t>
        </is>
      </c>
      <c r="D3" s="2" t="inlineStr">
        <is>
          <t>arrest</t>
        </is>
      </c>
      <c r="E3" s="2" t="inlineStr">
        <is>
          <t>Moet EBN B.V. naast NAM worden aangemerkt als exploitant in de zin van art. 6:177 lid 2 BW?</t>
        </is>
      </c>
      <c r="F3" s="2" t="inlineStr">
        <is>
          <t>Ja. EBN, waarvan de Staat enig aandeelhouder is, moet naast NAM als exploitant in de zin van art. 6:177 lid 2 BW worden aangemerkt omdat EBN via de Maatschap Groningen het economische belang bij de gaswinning deelt.</t>
        </is>
      </c>
      <c r="G3" s="2" t="inlineStr">
        <is>
          <t>EBN, waarvan de Staat enig aandeelhouder is, moet in het onderhavige geval — naast NAM — als exploitant in de zin van art. 6:177 lid 2 BW worden aangemerkt.</t>
        </is>
      </c>
      <c r="H3" s="2" t="inlineStr">
        <is>
          <t>Uitbreiding van het exploitantbegrip: ook de medebelanghebbende via een maatschapsconstructie valt eronder.</t>
        </is>
      </c>
      <c r="I3" s="2" t="inlineStr">
        <is>
          <t>HR 19 juli 2019, ECLI:NL:HR:2019:1278, NJ 2020/391 (Groningenveld)</t>
        </is>
      </c>
      <c r="J3" s="2" t="inlineStr"/>
      <c r="K3" s="2" t="inlineStr"/>
    </row>
    <row r="4" ht="96" customHeight="1">
      <c r="A4" s="2" t="inlineStr">
        <is>
          <t>card_003</t>
        </is>
      </c>
      <c r="B4" s="2" t="inlineStr">
        <is>
          <t>01</t>
        </is>
      </c>
      <c r="C4" s="2" t="inlineStr">
        <is>
          <t>Groningenveld (HR 19 juli 2019)</t>
        </is>
      </c>
      <c r="D4" s="2" t="inlineStr">
        <is>
          <t>arrest</t>
        </is>
      </c>
      <c r="E4" s="2" t="inlineStr">
        <is>
          <t>Hoe kan de exploitant het bewijsvermoeden van art. 6:177a lid 1 BW met succes weerleggen?</t>
        </is>
      </c>
      <c r="F4" s="2" t="inlineStr">
        <is>
          <t>De exploitant weerlegt het vermoeden alleen dan met succes als hij erin slaagt te bewijzen — waaronder is begrepen voldoende aannemelijk te maken — dat de schade niet is veroorzaakt door de aanleg of de exploitatie van het mijnbouwwerk.</t>
        </is>
      </c>
      <c r="G4" s="2" t="inlineStr">
        <is>
          <t>Indien is voldaan aan de vereisten voor toepassing van het vermoeden van art. 6:177a lid 1 BW, weerlegt de exploitant dat vermoeden alleen dan met succes als hij erin slaagt te bewijzen — waaronder is begrepen voldoende aannemelijk te maken — dat de schade niet is veroorzaakt door de aanleg of de exploitatie van het mijnbouwwerk.</t>
        </is>
      </c>
      <c r="H4" s="2" t="inlineStr">
        <is>
          <t>Invulling van de bewijslastverdeling: aannemelijk maken volstaat, maar de bewijslast blijft bij de exploitant.</t>
        </is>
      </c>
      <c r="I4" s="2" t="inlineStr">
        <is>
          <t>HR 19 juli 2019, ECLI:NL:HR:2019:1278, NJ 2020/391 (Groningenveld)</t>
        </is>
      </c>
      <c r="J4" s="2" t="inlineStr"/>
      <c r="K4" s="2" t="inlineStr"/>
    </row>
    <row r="5" ht="96" customHeight="1">
      <c r="A5" s="2" t="inlineStr">
        <is>
          <t>card_004</t>
        </is>
      </c>
      <c r="B5" s="2" t="inlineStr">
        <is>
          <t>01</t>
        </is>
      </c>
      <c r="C5" s="2" t="inlineStr">
        <is>
          <t>Groningenveld (HR 19 juli 2019)</t>
        </is>
      </c>
      <c r="D5" s="2" t="inlineStr">
        <is>
          <t>arrest</t>
        </is>
      </c>
      <c r="E5" s="2" t="inlineStr">
        <is>
          <t>Hoe werkt de persoonlijke predispositie van de benadeelde door in de schadevergoeding bij aansprakelijkheid op grond van art. 6:177 BW?</t>
        </is>
      </c>
      <c r="F5" s="2" t="inlineStr">
        <is>
          <t>Schade die (mede) is ontstaan of verergerd door een persoonlijke predispositie moet in beginsel ook op grond van art. 6:98 BW aan de exploitant worden toegerekend. Voor toepassing van art. 6:101 BW (eigen schuld) is slechts onder bijzondere omstandigheden plaats.</t>
        </is>
      </c>
      <c r="G5" s="2" t="inlineStr">
        <is>
          <t>Schade door mijnbouwactiviteiten waarvoor de exploitant aansprakelijk is, moet in beginsel ook op grond van art. 6:98 BW aan de exploitant worden toegerekend als deze (mede) is ontstaan of verergerd door een persoonlijke predispositie van de benadeelde. Voor toepassing van art. 6:101 BW is slechts onder bijzondere omstandigheden plaats.</t>
        </is>
      </c>
      <c r="H5" s="2" t="inlineStr">
        <is>
          <t>Ruime toerekening: de benadeelde wordt 'genomen zoals hij is' — eggshell-skull-regel ook onder 6:177 BW.</t>
        </is>
      </c>
      <c r="I5" s="2" t="inlineStr">
        <is>
          <t>HR 19 juli 2019, ECLI:NL:HR:2019:1278, NJ 2020/391 (Groningenveld)</t>
        </is>
      </c>
      <c r="J5" s="2" t="inlineStr"/>
      <c r="K5" s="2" t="inlineStr"/>
    </row>
    <row r="6" ht="96" customHeight="1">
      <c r="A6" s="2" t="inlineStr">
        <is>
          <t>card_005</t>
        </is>
      </c>
      <c r="B6" s="2" t="inlineStr">
        <is>
          <t>01</t>
        </is>
      </c>
      <c r="C6" s="2" t="inlineStr">
        <is>
          <t>Groningenveld (HR 19 juli 2019)</t>
        </is>
      </c>
      <c r="D6" s="2" t="inlineStr">
        <is>
          <t>arrest</t>
        </is>
      </c>
      <c r="E6" s="2" t="inlineStr">
        <is>
          <t>Levert de enkele omstandigheid dat een onroerende zaak niet bestand is tegen bodembeweging een bijzondere kwetsbaarheid op die kan leiden tot vermindering van de schadevergoeding?</t>
        </is>
      </c>
      <c r="F6" s="2" t="inlineStr">
        <is>
          <t>Nee. De enkele omstandigheid dat een onroerende zaak niet bestand is tegen bodembeweging vormt geen bijzondere kwetsbaarheid die tot vermindering van de schadevergoeding kan leiden, noch op grond van art. 6:98 BW, noch op grond van art. 6:101 BW.</t>
        </is>
      </c>
      <c r="G6" s="2" t="inlineStr">
        <is>
          <t>De enkele omstandigheid dat een onroerende zaak niet bestand is tegen bodembeweging vormt geen bijzondere kwetsbaarheid van die zaak die tot een vermindering van de omvang van de verplichting tot schadevergoeding kan leiden.</t>
        </is>
      </c>
      <c r="H6" s="2" t="inlineStr">
        <is>
          <t>Bescherming van eigenaren van oudere/zwakkere bouw in het aardbevingsgebied.</t>
        </is>
      </c>
      <c r="I6" s="2" t="inlineStr">
        <is>
          <t>HR 19 juli 2019, ECLI:NL:HR:2019:1278, NJ 2020/391 (Groningenveld)</t>
        </is>
      </c>
      <c r="J6" s="2" t="inlineStr"/>
      <c r="K6" s="2" t="inlineStr"/>
    </row>
    <row r="7" ht="96" customHeight="1">
      <c r="A7" s="2" t="inlineStr">
        <is>
          <t>card_006</t>
        </is>
      </c>
      <c r="B7" s="2" t="inlineStr">
        <is>
          <t>01</t>
        </is>
      </c>
      <c r="C7" s="2" t="inlineStr">
        <is>
          <t>Groningenveld (HR 19 juli 2019)</t>
        </is>
      </c>
      <c r="D7" s="2" t="inlineStr">
        <is>
          <t>leerstuk</t>
        </is>
      </c>
      <c r="E7" s="2" t="inlineStr">
        <is>
          <t>Is gederfd woongenot vermogensschade of immateriële schade?</t>
        </is>
      </c>
      <c r="F7" s="2" t="inlineStr">
        <is>
          <t>Gederfd woongenot is vermogensschade; daarop kan de bewoner aanspraak maken. De schatting op de voet van art. 6:97 BW gebeurt aan de hand van de door de Hoge Raad in Groningenveld opgestelde richtlijnen.</t>
        </is>
      </c>
      <c r="G7" s="2" t="inlineStr">
        <is>
          <t>Indien door (het risico op) bodembeweging het woongenot wordt aangetast, is het daardoor gederfde woongenot vermogensschade op vergoeding waarvan een bewoner aanspraak kan maken.</t>
        </is>
      </c>
      <c r="H7" s="2" t="inlineStr">
        <is>
          <t>Onderscheid tussen vermogens- en immateriële schade: aantasting van woongenot is primair vermogensschade.</t>
        </is>
      </c>
      <c r="I7" s="2" t="inlineStr">
        <is>
          <t>HR 19 juli 2019, ECLI:NL:HR:2019:1278, NJ 2020/391 (Groningenveld)</t>
        </is>
      </c>
      <c r="J7" s="2" t="inlineStr"/>
      <c r="K7" s="2" t="inlineStr"/>
    </row>
    <row r="8" ht="96" customHeight="1">
      <c r="A8" s="2" t="inlineStr">
        <is>
          <t>card_007</t>
        </is>
      </c>
      <c r="B8" s="2" t="inlineStr">
        <is>
          <t>01</t>
        </is>
      </c>
      <c r="C8" s="2" t="inlineStr">
        <is>
          <t>Groningenveld (HR 19 juli 2019)</t>
        </is>
      </c>
      <c r="D8" s="2" t="inlineStr">
        <is>
          <t>leerstuk</t>
        </is>
      </c>
      <c r="E8" s="2" t="inlineStr">
        <is>
          <t>Wanneer kan 'een aantasting in de persoon op andere wijze' ex art. 6:106 onder b BW worden aangenomen zonder dat geestelijk letsel is vastgesteld?</t>
        </is>
      </c>
      <c r="F8" s="2" t="inlineStr">
        <is>
          <t>De aard en ernst van de normschending en haar gevolgen kunnen meebrengen dat de aantasting in de persoon zó voor de hand ligt, dat die kan worden aangenomen zonder dat geestelijk letsel naar objectieve maatstaven vaststaat. Enkel schending van een fundamenteel recht is niet voldoende.</t>
        </is>
      </c>
      <c r="G8" s="2" t="inlineStr">
        <is>
          <t>Van een aantasting in de persoon op andere wijze als bedoeld in art. 6:106 lid 1, onder b, BW, is niet reeds sprake bij de enkele schending van een fundamenteel recht.</t>
        </is>
      </c>
      <c r="H8" s="2" t="inlineStr">
        <is>
          <t>Verfijning van de EBI-lijn (HR 15 maart 2019): strenge maatstaf voor immateriële schade zonder vastgesteld letsel.</t>
        </is>
      </c>
      <c r="I8" s="2" t="inlineStr">
        <is>
          <t>HR 19 juli 2019, ECLI:NL:HR:2019:1278, NJ 2020/391 (Groningenveld)</t>
        </is>
      </c>
      <c r="J8" s="2" t="inlineStr"/>
      <c r="K8" s="2" t="inlineStr"/>
    </row>
    <row r="9" ht="96" customHeight="1">
      <c r="A9" s="2" t="inlineStr">
        <is>
          <t>card_008</t>
        </is>
      </c>
      <c r="B9" s="2" t="inlineStr">
        <is>
          <t>01</t>
        </is>
      </c>
      <c r="C9" s="2" t="inlineStr">
        <is>
          <t>Groningenveld (HR 19 juli 2019)</t>
        </is>
      </c>
      <c r="D9" s="2" t="inlineStr">
        <is>
          <t>leerstuk</t>
        </is>
      </c>
      <c r="E9" s="2" t="inlineStr">
        <is>
          <t>Staat de formele rechtskracht van instemmingsbesluiten met winningsplannen in de weg aan aansprakelijkheid van de Staat voor aardbevingsschade?</t>
        </is>
      </c>
      <c r="F9" s="2" t="inlineStr">
        <is>
          <t>Nee. De formele rechtskracht van instemmingsbesluiten in zaken als de onderhavige staat niet in de weg aan aansprakelijkheid van de Staat, omdat de besluiten niet de vraag regelen of de Staat in een andere hoedanigheid (bv. als medebelanghebbende via EBN) onrechtmatig heeft gehandeld.</t>
        </is>
      </c>
      <c r="G9" s="2" t="inlineStr">
        <is>
          <t>De formele rechtskracht van instemmingsbesluiten in zaken als de onderhavige staat niet in de weg aan aansprakelijkheid van de Staat.</t>
        </is>
      </c>
      <c r="H9" s="2" t="inlineStr">
        <is>
          <t>Belangrijke nuancering van de leer van de formele rechtskracht bij besluiten met schadeveroorzakende effecten.</t>
        </is>
      </c>
      <c r="I9" s="2" t="inlineStr">
        <is>
          <t>HR 19 juli 2019, ECLI:NL:HR:2019:1278, NJ 2020/391 (Groningenveld)</t>
        </is>
      </c>
      <c r="J9" s="2" t="inlineStr"/>
      <c r="K9" s="2" t="inlineStr"/>
    </row>
    <row r="10" ht="96" customHeight="1">
      <c r="A10" s="2" t="inlineStr">
        <is>
          <t>card_009</t>
        </is>
      </c>
      <c r="B10" s="2" t="inlineStr">
        <is>
          <t>01</t>
        </is>
      </c>
      <c r="C10" s="2" t="inlineStr">
        <is>
          <t>Vivat/ATF (HR 10 januari 2020)</t>
        </is>
      </c>
      <c r="D10" s="2" t="inlineStr">
        <is>
          <t>arrest</t>
        </is>
      </c>
      <c r="E10" s="2" t="inlineStr">
        <is>
          <t>Wanneer is de omkeringsregel van toepassing bij schending van een veiligheidsnorm die een specifiek gevaar wil voorkomen?</t>
        </is>
      </c>
      <c r="F10" s="2" t="inlineStr">
        <is>
          <t>Als een norm specifiek strekt ter bescherming tegen een bepaald gevaar en dat gevaar zich heeft verwezenlijkt, moet de rechter bij onzekerheid over het condicio-sine-qua-non-verband tussen normschending en schade de omkeringsregel toepassen.</t>
        </is>
      </c>
      <c r="G10" s="2" t="inlineStr">
        <is>
          <t>Deze norm strekt specifiek ertoe bescherming te bieden tegen het gevaar van een interne ontploffing. Dat gevaar heeft zich verwezenlijkt. Bij die stand van zaken had het hof, als er nog onzekerheid bestond over het condicio sine qua non-verband tussen de schending van de norm en de schade, de omkeringsregel dienen toe te passen.</t>
        </is>
      </c>
      <c r="H10" s="2" t="inlineStr">
        <is>
          <t>Casus over soldeermachine die niet afgeschermd was tegen brandbare dampen. Producent aansprakelijk gesteld door verzekeraar Vivat/Reaal.</t>
        </is>
      </c>
      <c r="I10" s="2" t="inlineStr">
        <is>
          <t>HR 10 januari 2020, ECLI:NL:HR:2020:47, NJ 2020/45 (Vivat/ATF)</t>
        </is>
      </c>
      <c r="J10" s="2" t="inlineStr"/>
      <c r="K10" s="2" t="inlineStr"/>
    </row>
    <row r="11" ht="96" customHeight="1">
      <c r="A11" s="2" t="inlineStr">
        <is>
          <t>card_010</t>
        </is>
      </c>
      <c r="B11" s="2" t="inlineStr">
        <is>
          <t>01</t>
        </is>
      </c>
      <c r="C11" s="2" t="inlineStr">
        <is>
          <t>Afzinkkelder (HR 12 januari 2024)</t>
        </is>
      </c>
      <c r="D11" s="2" t="inlineStr">
        <is>
          <t>arrest</t>
        </is>
      </c>
      <c r="E11" s="2" t="inlineStr">
        <is>
          <t>Hoe beoordeelt de Hoge Raad de aansprakelijkheid van een opdrachtnemer bij bouwwerkzaamheden die schade aan het belendend perceel veroorzaken?</t>
        </is>
      </c>
      <c r="F11" s="2" t="inlineStr">
        <is>
          <t>De opdrachtnemer moet bij werkzaamheden die door hun aard risico op schade aan belendende percelen meebrengen (zoals het afzinken van een kelder) grote zorgvuldigheid betrachten en onderzoeken welke voorzorgsmaatregelen nodig zijn; een hoge onderzoeks- en waarschuwingsplicht geldt.</t>
        </is>
      </c>
      <c r="G11" s="2" t="inlineStr">
        <is>
          <t>Waar dit risico zich vervolgens heeft verwezenlijkt, kan niet zonder meer worden aanvaard dat [eiseressen] de daardoor veroorzaakte schade dienen te dragen. Hierbij is van belang dat de werkzaamheden in het belang van (de opdrachtgever van) Multi werden uitgevoerd en voor [eiseressen] geen voordeel opleverden, dat de schade van [eiseressen] niet zonder meer behoort tot hetgeen door een derde in het maatschappelijk verkeer moet worden geduld bij bouwwerkzaamheden van een ander, en dat het veeleer op de weg van Multi lag om zich tegen aansprakelijkheid voor het toebrengen van schade aan derden te verzekeren.</t>
        </is>
      </c>
      <c r="H11" s="2" t="inlineStr">
        <is>
          <t>HR rov. 3.2.2-3.2.3; letterlijke passage uit de uitspraak, opgenomen in syllabus module 1 (Van Dam), p. 42.</t>
        </is>
      </c>
      <c r="I11" s="2" t="inlineStr">
        <is>
          <t>HR 12 januari 2024, ECLI:NL:HR:2024:17 (Afzinkkelder)</t>
        </is>
      </c>
      <c r="J11" s="2" t="inlineStr"/>
      <c r="K11" s="2" t="inlineStr"/>
    </row>
    <row r="12" ht="96" customHeight="1">
      <c r="A12" s="2" t="inlineStr">
        <is>
          <t>card_011</t>
        </is>
      </c>
      <c r="B12" s="2" t="inlineStr">
        <is>
          <t>01</t>
        </is>
      </c>
      <c r="C12" s="2" t="inlineStr">
        <is>
          <t>MD/Shell (Hof Den Haag 12 november 2024)</t>
        </is>
      </c>
      <c r="D12" s="2" t="inlineStr">
        <is>
          <t>arrest</t>
        </is>
      </c>
      <c r="E12" s="2" t="inlineStr">
        <is>
          <t>Kan de burgerlijke rechter Shell verplichten tot een specifieke CO2-reductie van 45% in 2030?</t>
        </is>
      </c>
      <c r="F12" s="2" t="inlineStr">
        <is>
          <t>Nee. Het hof oordeelt dat er weliswaar een verplichting op Shell rust om gevaarlijke klimaatverandering tegen te gaan, maar de burgerlijke rechter kan niet vaststellen dat Shell haar CO2-emissies met 45% (of enig ander percentage) moet verminderen.</t>
        </is>
      </c>
      <c r="G12" s="2" t="inlineStr">
        <is>
          <t>Het hof heeft aan de hand van objectieve aanknopingspunten vastgesteld dat er een verplichting op Shell rust om gevaarlijke klimaatverandering tegen te gaan. Dit betekent echter niet dat de burgerlijke rechter kan vaststellen dat Shell haar CO2-emissies met 45% moet verminderen.</t>
        </is>
      </c>
      <c r="H12" s="2" t="inlineStr">
        <is>
          <t>Appel van Urgenda/Shell-lijn: wel zorgplicht, niet concreet reductiepercentage. Klimaataansprakelijkheid van private ondernemingen.</t>
        </is>
      </c>
      <c r="I12" s="2" t="inlineStr">
        <is>
          <t>Hof Den Haag 12 november 2024, ECLI:NL:GHDHA:2024:2099 (Milieudefensie/Shell)</t>
        </is>
      </c>
      <c r="J12" s="2" t="inlineStr"/>
      <c r="K12" s="2" t="inlineStr"/>
    </row>
    <row r="13" ht="96" customHeight="1">
      <c r="A13" s="2" t="inlineStr">
        <is>
          <t>card_012</t>
        </is>
      </c>
      <c r="B13" s="2" t="inlineStr">
        <is>
          <t>01</t>
        </is>
      </c>
      <c r="C13" s="2" t="inlineStr">
        <is>
          <t>MD/Shell (Hof Den Haag 12 november 2024)</t>
        </is>
      </c>
      <c r="D13" s="2" t="inlineStr">
        <is>
          <t>arrest</t>
        </is>
      </c>
      <c r="E13" s="2" t="inlineStr">
        <is>
          <t>Wat kan meer van Shell worden verwacht dan van andere ondernemingen als het gaat om klimaatverandering?</t>
        </is>
      </c>
      <c r="F13" s="2" t="inlineStr">
        <is>
          <t>Van Shell kan meer worden verwacht dan van de meeste andere ondernemingen, gelet op haar omvang als oliemaatschappij en haar bijdrage aan wereldwijde broeikasgasemissies; dat vertaalt zich in een zwaardere zorgplicht, maar niet in een rechterlijk gebod tot een specifiek reductiepercentage.</t>
        </is>
      </c>
      <c r="G13" s="2" t="inlineStr">
        <is>
          <t>Van Shell kan meer worden verwacht dan van de meeste andere ondernemingen […] als het gaat om het tegengaan van gevaarlijke klimaatverandering.</t>
        </is>
      </c>
      <c r="H13" s="2" t="inlineStr">
        <is>
          <t>Gradueel gedifferentieerde zorgplicht op basis van marktpositie en CO2-bijdrage van de onderneming.</t>
        </is>
      </c>
      <c r="I13" s="2" t="inlineStr">
        <is>
          <t>Hof Den Haag 12 november 2024, ECLI:NL:GHDHA:2024:2099 (Milieudefensie/Shell)</t>
        </is>
      </c>
      <c r="J13" s="2" t="inlineStr"/>
      <c r="K13" s="2" t="inlineStr"/>
    </row>
    <row r="14" ht="96" customHeight="1">
      <c r="A14" s="2" t="inlineStr">
        <is>
          <t>card_013</t>
        </is>
      </c>
      <c r="B14" s="2" t="inlineStr">
        <is>
          <t>01</t>
        </is>
      </c>
      <c r="C14" s="2" t="inlineStr">
        <is>
          <t>Ford Italia v ZP (HvJ EU 19 december 2024)</t>
        </is>
      </c>
      <c r="D14" s="2" t="inlineStr">
        <is>
          <t>arrest</t>
        </is>
      </c>
      <c r="E14" s="2" t="inlineStr">
        <is>
          <t>Wanneer is een distributeur van een product aan te merken als 'schijnbare producent' onder de Europese productaansprakelijkheidsrichtlijn?</t>
        </is>
      </c>
      <c r="F14" s="2" t="inlineStr">
        <is>
          <t>Een distributeur die door het aanbrengen van zijn naam, merk of ander onderscheidend teken op het product de indruk wekt de producent te zijn, kwalificeert als schijnbare producent (apparent producer) en is hoofdelijk aansprakelijk voor gebrekkige producten.</t>
        </is>
      </c>
      <c r="G14" s="2" t="inlineStr">
        <is>
          <t>Artikel 3, lid 1, van richtlijn 85/374/EEG [...] moet aldus worden uitgelegd dat de leverancier van een gebrekkig product moet worden beschouwd als „eenieder die zich als producent [van dat product] presenteert" in de zin van die bepaling, wanneer deze leverancier zijn naam, zijn merk of een ander onderscheidingsteken niet fysiek op dat product heeft aangebracht, maar het merk dat de producent op het product heeft aangebracht overeenstemt met, ten eerste, de naam of een onderscheidingsteken van die leverancier en, ten tweede, de naam van de producent.</t>
        </is>
      </c>
      <c r="H14" s="2" t="inlineStr">
        <is>
          <t>Dictum HvJ EU; letterlijke tekst uit syllabus module 1 (Van Dam), p. 70.</t>
        </is>
      </c>
      <c r="I14" s="2" t="inlineStr">
        <is>
          <t>HvJ EU 19 december 2024, C-157/23 (Ford Italia v ZP)</t>
        </is>
      </c>
      <c r="J14" s="2" t="inlineStr"/>
      <c r="K14" s="2" t="inlineStr"/>
    </row>
    <row r="15" ht="96" customHeight="1">
      <c r="A15" s="2" t="inlineStr">
        <is>
          <t>card_014</t>
        </is>
      </c>
      <c r="B15" s="2" t="inlineStr">
        <is>
          <t>01</t>
        </is>
      </c>
      <c r="C15" s="2" t="inlineStr">
        <is>
          <t>Van Dam, 'Taxus revisited' (MvV 2015/7-8)</t>
        </is>
      </c>
      <c r="D15" s="2" t="inlineStr">
        <is>
          <t>artikel</t>
        </is>
      </c>
      <c r="E15" s="2" t="inlineStr">
        <is>
          <t>Hoe wordt het kennisvereiste bij onrechtmatige daad primair geobjectiveerd?</t>
        </is>
      </c>
      <c r="F15" s="2" t="inlineStr">
        <is>
          <t>Door toerekening: het is voldoende als iemand met het risico bekend behoort te zijn. Wat een deelnemer aan het maatschappelijk verkeer behoort te weten wordt bepaald door een objectief vergelijkingstype dat varieert met zijn rol (arts, advocaat, surfer, producent).</t>
        </is>
      </c>
      <c r="G15" s="2" t="inlineStr">
        <is>
          <t>Toerekening van kennis is de meest gebruikelijke manier om gebrek aan kennis te corrigeren. Dit gebeurt door kennis objectief te toetsen: het is voldoende als iemand bekend behoort te zijn met het risico.</t>
        </is>
      </c>
      <c r="H15" s="2" t="inlineStr">
        <is>
          <t>Van Dam bouwt voort op het Taxus-arrest (HR 22 april 1994, NJ 1994/624) en bespreekt vijf verschijningsvormen van het kennisvereiste.</t>
        </is>
      </c>
      <c r="I15" s="2" t="inlineStr">
        <is>
          <t>C.C. van Dam, 'Taxus revisited. Een kleine taxonomie van het kennisvereiste', MvV 2015/7-8, p. 229-234</t>
        </is>
      </c>
      <c r="J15" s="2" t="inlineStr"/>
      <c r="K15" s="2" t="inlineStr"/>
    </row>
    <row r="16" ht="96" customHeight="1">
      <c r="A16" s="2" t="inlineStr">
        <is>
          <t>card_015</t>
        </is>
      </c>
      <c r="B16" s="2" t="inlineStr">
        <is>
          <t>01</t>
        </is>
      </c>
      <c r="C16" s="2" t="inlineStr">
        <is>
          <t>Van Dam, 'Taxus revisited' (MvV 2015/7-8)</t>
        </is>
      </c>
      <c r="D16" s="2" t="inlineStr">
        <is>
          <t>artikel</t>
        </is>
      </c>
      <c r="E16" s="2" t="inlineStr">
        <is>
          <t>Worden risico's van algemene bekendheid (zoals dat arsenicum giftig is) altijd aan de gedaagde toegerekend, ongeacht zijn rol?</t>
        </is>
      </c>
      <c r="F16" s="2" t="inlineStr">
        <is>
          <t>Ja. Risico's van algemene bekendheid worden iemand steeds toegerekend, ongeacht zijn rol in het maatschappelijk verkeer. Een beroep op onwetendheid baat niet, want dergelijke risico's behoren iedere volwassen deelnemer aan het maatschappelijk verkeer bekend te zijn.</t>
        </is>
      </c>
      <c r="G16" s="2" t="inlineStr">
        <is>
          <t>Risico's van algemene bekendheid worden iemand steeds toegerekend, ongeacht zijn rol in het maatschappelijk verkeer.</t>
        </is>
      </c>
      <c r="H16" s="2" t="inlineStr">
        <is>
          <t>Tweede laag in de taxonomie: naast rolgebonden objectivering is er algemene bekendheid (benzine is brandbaar, arsenicum giftig).</t>
        </is>
      </c>
      <c r="I16" s="2" t="inlineStr">
        <is>
          <t>C.C. van Dam, 'Taxus revisited. Een kleine taxonomie van het kennisvereiste', MvV 2015/7-8, p. 229-234</t>
        </is>
      </c>
      <c r="J16" s="2" t="inlineStr"/>
      <c r="K16" s="2" t="inlineStr"/>
    </row>
    <row r="17" ht="96" customHeight="1">
      <c r="A17" s="2" t="inlineStr">
        <is>
          <t>card_016</t>
        </is>
      </c>
      <c r="B17" s="2" t="inlineStr">
        <is>
          <t>01</t>
        </is>
      </c>
      <c r="C17" s="2" t="inlineStr">
        <is>
          <t>Van Dam, 'Taxus revisited' (MvV 2015/7-8)</t>
        </is>
      </c>
      <c r="D17" s="2" t="inlineStr">
        <is>
          <t>artikel</t>
        </is>
      </c>
      <c r="E17" s="2" t="inlineStr">
        <is>
          <t>Wanneer bestaat er naast algemeen bekend risicobewustzijn een onderzoeksplicht naar een concreet risico?</t>
        </is>
      </c>
      <c r="F17" s="2" t="inlineStr">
        <is>
          <t>Bij voortdurende activiteiten (gebruik van een machine of gevaarlijke stof) en dynamische risico's (massamanifestatie). De omvang van de onderzoeksplicht wordt bepaald door afweging van de omvang van het risico tegen de bezwaarlijkheid van het onderzoek; bij gezondheidsschade speelt bezwaarlijkheid een ondergeschikte rol.</t>
        </is>
      </c>
      <c r="G17" s="2" t="inlineStr">
        <is>
          <t>De omvang van deze onderzoeksplicht wordt bepaald door de omvang van het risico enerzijds en de bezwaarlijkheid van het doen van onderzoek anderzijds. Hoe groter het risico, des te meer onderzoek kan worden gevergd.</t>
        </is>
      </c>
      <c r="H17" s="2" t="inlineStr">
        <is>
          <t>Kelderluik-achtige afweging toegepast op het kennisvereiste; onderzoeksplicht als remedie tegen onwetendheid.</t>
        </is>
      </c>
      <c r="I17" s="2" t="inlineStr">
        <is>
          <t>C.C. van Dam, 'Taxus revisited. Een kleine taxonomie van het kennisvereiste', MvV 2015/7-8, p. 229-234</t>
        </is>
      </c>
      <c r="J17" s="2" t="inlineStr"/>
      <c r="K17" s="2" t="inlineStr"/>
    </row>
    <row r="18" ht="96" customHeight="1">
      <c r="A18" s="2" t="inlineStr">
        <is>
          <t>card_017</t>
        </is>
      </c>
      <c r="B18" s="2" t="inlineStr">
        <is>
          <t>01</t>
        </is>
      </c>
      <c r="C18" s="2" t="inlineStr">
        <is>
          <t>Van Dam, 'Doorbraak moedervennootschappen' (2021)</t>
        </is>
      </c>
      <c r="D18" s="2" t="inlineStr">
        <is>
          <t>artikel</t>
        </is>
      </c>
      <c r="E18" s="2" t="inlineStr">
        <is>
          <t>Onder welke omstandigheden kan een moedervennootschap rechtstreeks aansprakelijk worden gehouden voor schade veroorzaakt door haar dochtervennootschap?</t>
        </is>
      </c>
      <c r="F18" s="2" t="inlineStr">
        <is>
          <t>Wanneer de moeder zodanig betrokken is bij de bedrijfsvoering of de risico's van de dochter dat op haar zelfstandig een zorgplicht rust jegens benadeelden. De aansprakelijkheid is geen 'doorbraak' van rechtspersoonlijkheid, maar een eigen onrechtmatige daad van de moeder op grond van art. 6:162 BW.</t>
        </is>
      </c>
      <c r="G18" s="2" t="inlineStr">
        <is>
          <t>In de tweede plaats rusten de wettelijke verplichtingen tot transparantie en due diligence in beginsel op de moedervennootschap, wat een versterking betekent van de ontwikkelingen in de rechtspraak. [...] Ook de Franse wet op de verplichting tot waakzaamheid illustreert het samenkomen van juridische normen met de economische realiteit, namelijk dat moedervennootschappen veelal beslissende invloed (kunnen) uitoefenen op het beleid en de operaties van hun dochters en hun toeleveranciers en daarmee op het voorkomen en herstellen van mensenrechtenschendingen.</t>
        </is>
      </c>
      <c r="H18" s="2" t="inlineStr">
        <is>
          <t>C.C. van Dam, 'Doorbraak in de aansprakelijkheid van moedervennootschappen', syllabus module 1, p. 78.</t>
        </is>
      </c>
      <c r="I18" s="2" t="inlineStr">
        <is>
          <t>C.C. van Dam, 'Doorbraak in de aansprakelijkheid van moedervennootschappen', in: Geschriften Vereniging Corporate Litigation 2020-2021, Deventer: Kluwer 2021</t>
        </is>
      </c>
      <c r="J18" s="2" t="inlineStr"/>
      <c r="K18" s="2" t="inlineStr"/>
    </row>
    <row r="19" ht="96" customHeight="1">
      <c r="A19" s="2" t="inlineStr">
        <is>
          <t>card_018</t>
        </is>
      </c>
      <c r="B19" s="2" t="inlineStr">
        <is>
          <t>01</t>
        </is>
      </c>
      <c r="C19" s="2" t="inlineStr">
        <is>
          <t>Algemeen Van Dam — Kelderluik</t>
        </is>
      </c>
      <c r="D19" s="2" t="inlineStr">
        <is>
          <t>leerstuk</t>
        </is>
      </c>
      <c r="E19" s="2" t="inlineStr">
        <is>
          <t>Welke vier factoren zijn bepalend bij de beoordeling van gevaarzetting volgens de Kelderluik-criteria?</t>
        </is>
      </c>
      <c r="F19" s="2" t="inlineStr">
        <is>
          <t>(1) de mate van waarschijnlijkheid dat niet-inachtneming van de vereiste oplettendheid en voorzichtigheid kan worden verwacht; (2) de grootte van de kans dat daaruit ongevallen ontstaan; (3) de ernst van de mogelijke gevolgen; en (4) de bezwaarlijkheid van te nemen voorzorgsmaatregelen.</t>
        </is>
      </c>
      <c r="G19" s="2" t="inlineStr">
        <is>
          <t>De Kelderluik-factoren zoals door de Hoge Raad geformuleerd (HR 5 november 1965, NJ 1966/136), en nadien steeds herhaald, vormen het beoordelingskader voor gevaarzetting onder art. 6:162 BW.</t>
        </is>
      </c>
      <c r="H19" s="2" t="inlineStr">
        <is>
          <t>Klassieke vier-factoren-toets voor onrechtmatige gevaarzetting; basis van de Nederlandse leerstuk-onrechtmatige daad.</t>
        </is>
      </c>
      <c r="I19" s="2" t="inlineStr">
        <is>
          <t>HR 5 november 1965, NJ 1966/136 (Kelderluik)</t>
        </is>
      </c>
      <c r="J19" s="2" t="inlineStr"/>
      <c r="K19" s="2" t="inlineStr"/>
    </row>
    <row r="20" ht="96" customHeight="1">
      <c r="A20" s="2" t="inlineStr">
        <is>
          <t>card_019</t>
        </is>
      </c>
      <c r="B20" s="2" t="inlineStr">
        <is>
          <t>01</t>
        </is>
      </c>
      <c r="C20" s="2" t="inlineStr">
        <is>
          <t>Algemeen Van Dam — structuur 6:162 BW</t>
        </is>
      </c>
      <c r="D20" s="2" t="inlineStr">
        <is>
          <t>leerstuk</t>
        </is>
      </c>
      <c r="E20" s="2" t="inlineStr">
        <is>
          <t>Welke drie categorieën onrechtmatigheid onderscheidt art. 6:162 lid 2 BW?</t>
        </is>
      </c>
      <c r="F20" s="2" t="inlineStr">
        <is>
          <t>(1) inbreuk op een subjectief recht; (2) doen of nalaten in strijd met een wettelijke plicht; (3) doen of nalaten in strijd met hetgeen volgens ongeschreven recht in het maatschappelijk verkeer betaamt (maatschappelijke zorgvuldigheid).</t>
        </is>
      </c>
      <c r="G20" s="2" t="inlineStr">
        <is>
          <t>Als onrechtmatige daad worden aangemerkt een inbreuk op een recht en een doen of nalaten in strijd met een wettelijke plicht of met hetgeen volgens ongeschreven recht in het maatschappelijk verkeer betaamt, een en ander behoudens de aanwezigheid van een rechtvaardigingsgrond.</t>
        </is>
      </c>
      <c r="H20" s="2" t="inlineStr">
        <is>
          <t>De drie onrechtmatigheidsgronden vormen samen met schuld, schade, causaal verband en relativiteit de vereisten voor aansprakelijkheid uit art. 6:162 BW.</t>
        </is>
      </c>
      <c r="I20" s="2" t="inlineStr">
        <is>
          <t>Art. 6:162 lid 2 BW</t>
        </is>
      </c>
      <c r="J20" s="2" t="inlineStr"/>
      <c r="K20" s="2" t="inlineStr"/>
    </row>
    <row r="21" ht="96" customHeight="1">
      <c r="A21" s="2" t="inlineStr">
        <is>
          <t>card_020</t>
        </is>
      </c>
      <c r="B21" s="2" t="inlineStr">
        <is>
          <t>01</t>
        </is>
      </c>
      <c r="C21" s="2" t="inlineStr">
        <is>
          <t>Algemeen Van Dam — schadevergoeding</t>
        </is>
      </c>
      <c r="D21" s="2" t="inlineStr">
        <is>
          <t>leerstuk</t>
        </is>
      </c>
      <c r="E21" s="2" t="inlineStr">
        <is>
          <t>Welke twee stappen moet de rechter doorlopen bij toepassing van art. 6:98 BW (toerekening van schade)?</t>
        </is>
      </c>
      <c r="F21" s="2" t="inlineStr">
        <is>
          <t>(1) Vaststellen of er condicio-sine-qua-non-verband is tussen de gebeurtenis en de schade. (2) Zo ja, beoordelen of de schade zodanig verband houdt met de gebeurtenis dat zij, mede gezien de aard van de aansprakelijkheid en van de schade, als gevolg daaraan kan worden toegerekend.</t>
        </is>
      </c>
      <c r="G21" s="2" t="inlineStr">
        <is>
          <t>Voor vergoeding komt slechts in aanmerking schade die in zodanig verband staat met de gebeurtenis waarop de aansprakelijkheid van de schuldenaar berust, dat zij hem, mede gezien de aard van de aansprakelijkheid en van de schade, als een gevolg van deze gebeurtenis kan worden toegerekend.</t>
        </is>
      </c>
      <c r="H21" s="2" t="inlineStr">
        <is>
          <t>Art. 6:98 BW bevat de 'juridische causaliteit' als tweede stap; csqn is de feitelijke oorzakelijkheid.</t>
        </is>
      </c>
      <c r="I21" s="2" t="inlineStr">
        <is>
          <t>Art. 6:98 BW</t>
        </is>
      </c>
      <c r="J21" s="2" t="inlineStr"/>
      <c r="K21" s="2" t="inlineStr"/>
    </row>
    <row r="22" ht="96" customHeight="1">
      <c r="A22" s="3" t="inlineStr">
        <is>
          <t>card_021</t>
        </is>
      </c>
      <c r="B22" s="3" t="inlineStr">
        <is>
          <t>02</t>
        </is>
      </c>
      <c r="C22" s="3" t="inlineStr">
        <is>
          <t>Afd. 6.3.3 BW</t>
        </is>
      </c>
      <c r="D22" s="3" t="inlineStr">
        <is>
          <t>artikel</t>
        </is>
      </c>
      <c r="E22" s="3" t="inlineStr">
        <is>
          <t>Op welke grondslag berust productaansprakelijkheid in het BW en wat is de kernbepaling?</t>
        </is>
      </c>
      <c r="F22" s="3" t="inlineStr">
        <is>
          <t>Op Afdeling 6.3.3 BW (art. 6:185-193 BW), implementatie van Richtlijn 85/374/EEG (per 9 december 2026 vervangen door Richtlijn 2024/2853). Kernbepaling is art. 6:185 BW: de producent is aansprakelijk voor de schade veroorzaakt door een gebrek in zijn product.</t>
        </is>
      </c>
      <c r="G22" s="3" t="inlineStr">
        <is>
          <t>De producent is aansprakelijk voor de schade veroorzaakt door een gebrek in zijn product, behalve indien [een van de verweren van lid 1 zich voordoet].</t>
        </is>
      </c>
      <c r="H22" s="3" t="inlineStr">
        <is>
          <t>Risicoaansprakelijkheid: schuld hoeft niet te worden bewezen, alleen gebrek, schade en causaal verband.</t>
        </is>
      </c>
      <c r="I22" s="3" t="inlineStr">
        <is>
          <t>Art. 6:185 BW; Richtlijn 85/374/EEG</t>
        </is>
      </c>
      <c r="J22" s="3" t="inlineStr"/>
      <c r="K22" s="3" t="inlineStr"/>
    </row>
    <row r="23" ht="96" customHeight="1">
      <c r="A23" s="3" t="inlineStr">
        <is>
          <t>card_022</t>
        </is>
      </c>
      <c r="B23" s="3" t="inlineStr">
        <is>
          <t>02</t>
        </is>
      </c>
      <c r="C23" s="3" t="inlineStr">
        <is>
          <t>Franken, 'Hoe zat het ook alweer met… productaansprakelijkheid' (BB 2025/65)</t>
        </is>
      </c>
      <c r="D23" s="3" t="inlineStr">
        <is>
          <t>term</t>
        </is>
      </c>
      <c r="E23" s="3" t="inlineStr">
        <is>
          <t>Wat verstaat art. 6:186 BW onder een 'gebrekkig product'?</t>
        </is>
      </c>
      <c r="F23" s="3" t="inlineStr">
        <is>
          <t>Een product is gebrekkig als het niet de veiligheid biedt die men, alle omstandigheden in aanmerking genomen, mag verwachten — met name gelet op de presentatie, het redelijkerwijs te verwachten gebruik en het tijdstip van in het verkeer brengen. Een product is niet gebrekkig op de enkele grond dat nadien een beter product in het verkeer is gebracht.</t>
        </is>
      </c>
      <c r="G23" s="3" t="inlineStr">
        <is>
          <t>Een product is gebrekkig, indien het niet de veiligheid biedt die men daarvan mag verwachten, alle omstandigheden in aanmerking genomen en in het bijzonder […].</t>
        </is>
      </c>
      <c r="H23" s="3" t="inlineStr">
        <is>
          <t>Consumentgericht veiligheidscriterium: ga uit van verwachtingen van het gemiddeld publiek, niet van de individuele gebruiker.</t>
        </is>
      </c>
      <c r="I23" s="3" t="inlineStr">
        <is>
          <t>Art. 6:186 BW</t>
        </is>
      </c>
      <c r="J23" s="3" t="inlineStr"/>
      <c r="K23" s="3" t="inlineStr"/>
    </row>
    <row r="24" ht="96" customHeight="1">
      <c r="A24" s="3" t="inlineStr">
        <is>
          <t>card_023</t>
        </is>
      </c>
      <c r="B24" s="3" t="inlineStr">
        <is>
          <t>02</t>
        </is>
      </c>
      <c r="C24" s="3" t="inlineStr">
        <is>
          <t>Franken, 'Hoe zat het ook alweer met… productaansprakelijkheid'</t>
        </is>
      </c>
      <c r="D24" s="3" t="inlineStr">
        <is>
          <t>term</t>
        </is>
      </c>
      <c r="E24" s="3" t="inlineStr">
        <is>
          <t>Wat valt onder het begrip 'product' in de zin van art. 6:187 lid 1 BW?</t>
        </is>
      </c>
      <c r="F24" s="3" t="inlineStr">
        <is>
          <t>Een roerende zaak, ook als deze een bestanddeel vormt van een andere roerende of onroerende zaak, alsmede elektriciteit. Sinds Richtlijn 2024/2853 (gedeeltelijk in werking 2026) is dit uitgebreid tot software en AI-systemen.</t>
        </is>
      </c>
      <c r="G24" s="3" t="inlineStr">
        <is>
          <t>Onder product wordt verstaan een roerende zaak, ook nadat zij een bestanddeel is gaan vormen van een andere roerende of onroerende zaak, alsmede elektriciteit.</t>
        </is>
      </c>
      <c r="H24" s="3" t="inlineStr">
        <is>
          <t>Belangrijke uitbreiding in 2024-richtlijn: digitale producten en software vallen voortaan expliciet onder het regime.</t>
        </is>
      </c>
      <c r="I24" s="3" t="inlineStr">
        <is>
          <t>Art. 6:187 lid 1 BW; Richtlijn (EU) 2024/2853</t>
        </is>
      </c>
      <c r="J24" s="3" t="inlineStr"/>
      <c r="K24" s="3" t="inlineStr"/>
    </row>
    <row r="25" ht="96" customHeight="1">
      <c r="A25" s="3" t="inlineStr">
        <is>
          <t>card_024</t>
        </is>
      </c>
      <c r="B25" s="3" t="inlineStr">
        <is>
          <t>02</t>
        </is>
      </c>
      <c r="C25" s="3" t="inlineStr">
        <is>
          <t>Franken, 'Hoe zat het ook alweer met… productaansprakelijkheid'</t>
        </is>
      </c>
      <c r="D25" s="3" t="inlineStr">
        <is>
          <t>term</t>
        </is>
      </c>
      <c r="E25" s="3" t="inlineStr">
        <is>
          <t>Wie is 'producent' in de zin van art. 6:187 lid 2 BW?</t>
        </is>
      </c>
      <c r="F25" s="3" t="inlineStr">
        <is>
          <t>De fabrikant van een eindproduct, de producent van een grondstof of de fabrikant van een onderdeel, alsmede een ieder die zich als producent presenteert door zijn naam, merk of ander onderscheidend teken op het product aan te brengen. Ook de importeur in de EU geldt als producent.</t>
        </is>
      </c>
      <c r="G25" s="3" t="inlineStr">
        <is>
          <t>Onder producent wordt verstaan de fabrikant van een eindproduct, de producent van een grondstof of de fabrikant van een onderdeel, alsmede een ieder die zich als producent presenteert.</t>
        </is>
      </c>
      <c r="H25" s="3" t="inlineStr">
        <is>
          <t>Ruime producentdefinitie voorkomt dat benadeelden met lege handen staan als de werkelijke fabrikant buiten de EU zit.</t>
        </is>
      </c>
      <c r="I25" s="3" t="inlineStr">
        <is>
          <t>Art. 6:187 lid 2 BW</t>
        </is>
      </c>
      <c r="J25" s="3" t="inlineStr"/>
      <c r="K25" s="3" t="inlineStr"/>
    </row>
    <row r="26" ht="96" customHeight="1">
      <c r="A26" s="3" t="inlineStr">
        <is>
          <t>card_025</t>
        </is>
      </c>
      <c r="B26" s="3" t="inlineStr">
        <is>
          <t>02</t>
        </is>
      </c>
      <c r="C26" s="3" t="inlineStr">
        <is>
          <t>Franken, 'Hoe zat het ook alweer met… productaansprakelijkheid'</t>
        </is>
      </c>
      <c r="D26" s="3" t="inlineStr">
        <is>
          <t>leerstuk</t>
        </is>
      </c>
      <c r="E26" s="3" t="inlineStr">
        <is>
          <t>Hoe is de bewijslast verdeeld onder art. 6:188 BW?</t>
        </is>
      </c>
      <c r="F26" s="3" t="inlineStr">
        <is>
          <t>De benadeelde moet de schade, het gebrek en het causaal verband tussen gebrek en schade bewijzen. De producent moet de verweren (zoals het ontwikkelingsrisico-verweer van art. 6:185 lid 1 sub e BW) bewijzen.</t>
        </is>
      </c>
      <c r="G26" s="3" t="inlineStr">
        <is>
          <t>De benadeelde dient de schade, het gebrek en het oorzakelijk verband tussen het gebrek en de schade te bewijzen.</t>
        </is>
      </c>
      <c r="H26" s="3" t="inlineStr">
        <is>
          <t>Omkering ten opzichte van 6:162: de benadeelde hoeft geen schuld of onrechtmatigheid te bewijzen, alleen het gebrek.</t>
        </is>
      </c>
      <c r="I26" s="3" t="inlineStr">
        <is>
          <t>Art. 6:188 BW</t>
        </is>
      </c>
      <c r="J26" s="3" t="inlineStr"/>
      <c r="K26" s="3" t="inlineStr"/>
    </row>
    <row r="27" ht="96" customHeight="1">
      <c r="A27" s="3" t="inlineStr">
        <is>
          <t>card_026</t>
        </is>
      </c>
      <c r="B27" s="3" t="inlineStr">
        <is>
          <t>02</t>
        </is>
      </c>
      <c r="C27" s="3" t="inlineStr">
        <is>
          <t>Franken, 'Hoe zat het ook alweer met… productaansprakelijkheid'</t>
        </is>
      </c>
      <c r="D27" s="3" t="inlineStr">
        <is>
          <t>leerstuk</t>
        </is>
      </c>
      <c r="E27" s="3" t="inlineStr">
        <is>
          <t>Wat houdt het ontwikkelingsrisico-verweer (state-of-the-art-verweer) in?</t>
        </is>
      </c>
      <c r="F27" s="3" t="inlineStr">
        <is>
          <t>De producent is niet aansprakelijk als hij bewijst dat het op grond van de stand van de wetenschappelijke en technische kennis op het tijdstip van in het verkeer brengen onmogelijk was het bestaan van het gebrek te ontdekken (art. 6:185 lid 1 sub e BW).</t>
        </is>
      </c>
      <c r="G27" s="3" t="inlineStr">
        <is>
          <t>De producent is niet aansprakelijk […] indien hij bewijst: […] dat het op grond van de stand van de wetenschappelijke en technische kennis op het tijdstip waarop hij het product in het verkeer bracht, onmogelijk was het bestaan van het gebrek te ontdekken.</t>
        </is>
      </c>
      <c r="H27" s="3" t="inlineStr">
        <is>
          <t>Streng uitgelegd: maatgevend is de hoogst bereikbare wetenschappelijke stand, niet het gemiddelde van de branche.</t>
        </is>
      </c>
      <c r="I27" s="3" t="inlineStr">
        <is>
          <t>Art. 6:185 lid 1 sub e BW</t>
        </is>
      </c>
      <c r="J27" s="3" t="inlineStr"/>
      <c r="K27" s="3" t="inlineStr"/>
    </row>
    <row r="28" ht="96" customHeight="1">
      <c r="A28" s="3" t="inlineStr">
        <is>
          <t>card_027</t>
        </is>
      </c>
      <c r="B28" s="3" t="inlineStr">
        <is>
          <t>02</t>
        </is>
      </c>
      <c r="C28" s="3" t="inlineStr">
        <is>
          <t>Asser/Hartkamp &amp; Sieburgh 6-IV</t>
        </is>
      </c>
      <c r="D28" s="3" t="inlineStr">
        <is>
          <t>artikel</t>
        </is>
      </c>
      <c r="E28" s="3" t="inlineStr">
        <is>
          <t>Welke schade komt op grond van art. 6:190 BW voor vergoeding in aanmerking bij productaansprakelijkheid?</t>
        </is>
      </c>
      <c r="F28" s="3" t="inlineStr">
        <is>
          <t>Schade door dood of lichamelijk letsel, en zaakschade aan een zaak bestemd voor privégebruik (boven een franchise van € 500). Zuivere vermogensschade en schade aan het gebrekkige product zelf zijn uitgesloten.</t>
        </is>
      </c>
      <c r="G28" s="3" t="inlineStr">
        <is>
          <t>Onder schade als bedoeld in artikel 185 wordt verstaan: a. schade door dood of lichamelijk letsel; b. schade door het product toegebracht aan een andere zaak die gewoonlijk voor gebruik of verbruik in de privésfeer is bestemd.</t>
        </is>
      </c>
      <c r="H28" s="3" t="inlineStr">
        <is>
          <t>Bewuste beperking door Europese wetgever: productaansprakelijkheid richt zich op consumentenschade, niet op bedrijfsschade.</t>
        </is>
      </c>
      <c r="I28" s="3" t="inlineStr">
        <is>
          <t>Art. 6:190 BW</t>
        </is>
      </c>
      <c r="J28" s="3" t="inlineStr"/>
      <c r="K28" s="3" t="inlineStr"/>
    </row>
    <row r="29" ht="96" customHeight="1">
      <c r="A29" s="3" t="inlineStr">
        <is>
          <t>card_028</t>
        </is>
      </c>
      <c r="B29" s="3" t="inlineStr">
        <is>
          <t>02</t>
        </is>
      </c>
      <c r="C29" s="3" t="inlineStr">
        <is>
          <t>Asser/Hartkamp &amp; Sieburgh 6-IV</t>
        </is>
      </c>
      <c r="D29" s="3" t="inlineStr">
        <is>
          <t>artikel</t>
        </is>
      </c>
      <c r="E29" s="3" t="inlineStr">
        <is>
          <t>Welke vervaltermijn geldt voor de vordering tot schadevergoeding wegens productaansprakelijkheid?</t>
        </is>
      </c>
      <c r="F29" s="3" t="inlineStr">
        <is>
          <t>De rechtsvordering verjaart door verloop van drie jaar na het tijdstip waarop de benadeelde bekend is geworden met de schade, het gebrek en de identiteit van de producent. De aansprakelijkheid vervalt door verloop van tien jaar na het in het verkeer brengen van het product (art. 6:191 BW).</t>
        </is>
      </c>
      <c r="G29" s="3" t="inlineStr">
        <is>
          <t>De rechtsvordering uit hoofde van de aansprakelijkheid op grond van artikel 185 verjaart door verloop van drie jaren na de aanvang van de dag, volgende op die waarop de benadeelde met de schade, het gebrek en de identiteit van de producent bekend is geworden.</t>
        </is>
      </c>
      <c r="H29" s="3" t="inlineStr">
        <is>
          <t>Onderscheid tussen relatieve (3 jaar) en absolute (10 jaar) termijn; kort in vergelijking met de reguliere verjaring van art. 3:310 BW.</t>
        </is>
      </c>
      <c r="I29" s="3" t="inlineStr">
        <is>
          <t>Art. 6:191 BW</t>
        </is>
      </c>
      <c r="J29" s="3" t="inlineStr"/>
      <c r="K29" s="3" t="inlineStr"/>
    </row>
    <row r="30" ht="96" customHeight="1">
      <c r="A30" s="3" t="inlineStr">
        <is>
          <t>card_029</t>
        </is>
      </c>
      <c r="B30" s="3" t="inlineStr">
        <is>
          <t>02</t>
        </is>
      </c>
      <c r="C30" s="3" t="inlineStr">
        <is>
          <t>Afd. 6.3.2 BW — zaken</t>
        </is>
      </c>
      <c r="D30" s="3" t="inlineStr">
        <is>
          <t>artikel</t>
        </is>
      </c>
      <c r="E30" s="3" t="inlineStr">
        <is>
          <t>Wanneer is de bezitter van een gebrekkige opstal aansprakelijk op grond van art. 6:174 BW?</t>
        </is>
      </c>
      <c r="F30" s="3" t="inlineStr">
        <is>
          <t>Wanneer de opstal niet voldoet aan de eisen die men daaraan in de gegeven omstandigheden mag stellen, en daardoor gevaar voor personen of zaken oplevert, en dat gevaar zich verwezenlijkt. Risicoaansprakelijkheid van de bezitter (of bedrijfsmatige gebruiker ex lid 3).</t>
        </is>
      </c>
      <c r="G30" s="3" t="inlineStr">
        <is>
          <t>De bezitter van een opstal die niet voldoet aan de eisen die men daaraan in de gegeven omstandigheden mag stellen, en daardoor gevaar voor personen of zaken oplevert, is, wanneer dit gevaar zich verwezenlijkt, aansprakelijk.</t>
        </is>
      </c>
      <c r="H30" s="3" t="inlineStr">
        <is>
          <t>Geen schuld vereist: de 'gebrekkigheid' wordt geobjectiveerd aan de hand van in redelijkheid te stellen eisen.</t>
        </is>
      </c>
      <c r="I30" s="3" t="inlineStr">
        <is>
          <t>Art. 6:174 BW</t>
        </is>
      </c>
      <c r="J30" s="3" t="inlineStr"/>
      <c r="K30" s="3" t="inlineStr"/>
    </row>
    <row r="31" ht="96" customHeight="1">
      <c r="A31" s="3" t="inlineStr">
        <is>
          <t>card_030</t>
        </is>
      </c>
      <c r="B31" s="3" t="inlineStr">
        <is>
          <t>02</t>
        </is>
      </c>
      <c r="C31" s="3" t="inlineStr">
        <is>
          <t>Afd. 6.3.2 BW — dieren</t>
        </is>
      </c>
      <c r="D31" s="3" t="inlineStr">
        <is>
          <t>artikel</t>
        </is>
      </c>
      <c r="E31" s="3" t="inlineStr">
        <is>
          <t>Wie is aansprakelijk voor schade veroorzaakt door een dier en waarom is dit een risicoaansprakelijkheid?</t>
        </is>
      </c>
      <c r="F31" s="3" t="inlineStr">
        <is>
          <t>De bezitter van het dier (art. 6:179 BW). De aansprakelijkheid berust op het onberekenbare, eigen gedrag van het dier (de 'eigen energie'); schuld van de bezitter is niet vereist.</t>
        </is>
      </c>
      <c r="G31" s="3" t="inlineStr">
        <is>
          <t>De bezitter van een dier is aansprakelijk voor de door het dier aangerichte schade, tenzij aansprakelijkheid op grond van de vorige afdeling zou hebben ontbroken indien hij de gedraging van het dier waardoor de schade werd toegebracht, in zijn macht zou hebben gehad.</t>
        </is>
      </c>
      <c r="H31" s="3" t="inlineStr">
        <is>
          <t>Belangrijke nuance: de tenzij-clausule werkt als een denkbeeldige 6:162-toets over een gedachte, menselijke gedraging van de bezitter.</t>
        </is>
      </c>
      <c r="I31" s="3" t="inlineStr">
        <is>
          <t>Art. 6:179 BW</t>
        </is>
      </c>
      <c r="J31" s="3" t="inlineStr"/>
      <c r="K31" s="3" t="inlineStr"/>
    </row>
    <row r="32" ht="96" customHeight="1">
      <c r="A32" s="3" t="inlineStr">
        <is>
          <t>card_031</t>
        </is>
      </c>
      <c r="B32" s="3" t="inlineStr">
        <is>
          <t>02</t>
        </is>
      </c>
      <c r="C32" s="3" t="inlineStr">
        <is>
          <t>Afd. 6.3.2 BW — roerende zaken</t>
        </is>
      </c>
      <c r="D32" s="3" t="inlineStr">
        <is>
          <t>artikel</t>
        </is>
      </c>
      <c r="E32" s="3" t="inlineStr">
        <is>
          <t>Voor welke gevaarzetting van roerende zaken is de bezitter aansprakelijk op grond van art. 6:173 BW?</t>
        </is>
      </c>
      <c r="F32" s="3" t="inlineStr">
        <is>
          <t>Voor roerende zaken die bekend zijn bij een bijzonder gevaar voor personen of zaken bij gebrekkig onderhoud, constructie of werking, en dat gevaar zich verwezenlijkt. Niet: zaken die uitsluitend gevaarlijk zijn door onjuist gebruik.</t>
        </is>
      </c>
      <c r="G32" s="3" t="inlineStr">
        <is>
          <t>De bezitter van een roerende zaak waarvan bekend is dat zij, zo zij niet voldoet aan de eisen die men in de gegeven omstandigheden aan zulk een zaak mag stellen, een bijzonder gevaar voor personen of zaken oplevert, is, wanneer dit gevaar zich verwezenlijkt, aansprakelijk.</t>
        </is>
      </c>
      <c r="H32" s="3" t="inlineStr">
        <is>
          <t>Beperkter dan opstal: alleen 'zaken waarvan bekend is' dat ze bij gebrek gevaarlijk zijn. Bedrijfsmatige gebruiker: zie lid 2.</t>
        </is>
      </c>
      <c r="I32" s="3" t="inlineStr">
        <is>
          <t>Art. 6:173 BW</t>
        </is>
      </c>
      <c r="J32" s="3" t="inlineStr"/>
      <c r="K32" s="3" t="inlineStr"/>
    </row>
    <row r="33" ht="96" customHeight="1">
      <c r="A33" s="3" t="inlineStr">
        <is>
          <t>card_032</t>
        </is>
      </c>
      <c r="B33" s="3" t="inlineStr">
        <is>
          <t>02</t>
        </is>
      </c>
      <c r="C33" s="3" t="inlineStr">
        <is>
          <t>Afd. 6.3.2 BW — gevaarlijke stoffen</t>
        </is>
      </c>
      <c r="D33" s="3" t="inlineStr">
        <is>
          <t>artikel</t>
        </is>
      </c>
      <c r="E33" s="3" t="inlineStr">
        <is>
          <t>Wanneer is de bedrijfsmatige gebruiker van een gevaarlijke stof aansprakelijk op grond van art. 6:175 BW?</t>
        </is>
      </c>
      <c r="F33" s="3" t="inlineStr">
        <is>
          <t>Als hij beroepsmatig of bedrijfsmatig een stof gebruikt of onder zich heeft waarvan bekend is dat zij zodanige eigenschappen heeft dat zij bijzonder gevaar van ernstige aard oplevert, en dat gevaar zich verwezenlijkt.</t>
        </is>
      </c>
      <c r="G33" s="3" t="inlineStr">
        <is>
          <t>Degene die in de uitoefening van zijn beroep of bedrijf een stof gebruikt of onder zich heeft, terwijl van deze stof bekend is dat zij zodanige eigenschappen heeft, dat zij een bijzonder gevaar van ernstige aard voor personen of zaken oplevert, is aansprakelijk, wanneer dit gevaar zich verwezenlijkt.</t>
        </is>
      </c>
      <c r="H33" s="3" t="inlineStr">
        <is>
          <t>Risicoaansprakelijkheid met bedrijfsmatige nexus: niet de bezitter, maar de gebruiker in beroep/bedrijf. Vgl. CMI-lijn (Cover My Incident).</t>
        </is>
      </c>
      <c r="I33" s="3" t="inlineStr">
        <is>
          <t>Art. 6:175 BW</t>
        </is>
      </c>
      <c r="J33" s="3" t="inlineStr"/>
      <c r="K33" s="3" t="inlineStr"/>
    </row>
    <row r="34" ht="96" customHeight="1">
      <c r="A34" s="3" t="inlineStr">
        <is>
          <t>card_033</t>
        </is>
      </c>
      <c r="B34" s="3" t="inlineStr">
        <is>
          <t>02</t>
        </is>
      </c>
      <c r="C34" s="3" t="inlineStr">
        <is>
          <t>Mutsaerts, 'Wijziging aansprakelijkheid gebrekkige producten' (WAAR&amp;WET juli 2025)</t>
        </is>
      </c>
      <c r="D34" s="3" t="inlineStr">
        <is>
          <t>artikel</t>
        </is>
      </c>
      <c r="E34" s="3" t="inlineStr">
        <is>
          <t>Wat zijn drie kernwijzigingen in de nieuwe productaansprakelijkheidsrichtlijn (Richtlijn 2024/2853)?</t>
        </is>
      </c>
      <c r="F34" s="3" t="inlineStr">
        <is>
          <t>(1) Uitbreiding van het productbegrip naar software en AI; (2) ruimer schadebegrip (psychische schade en dataverlies); (3) verlichting van de bewijslast voor de benadeelde door bewijsvermoedens bij complexe producten.</t>
        </is>
      </c>
      <c r="G34" s="3" t="inlineStr">
        <is>
          <t>Sommige producten, zoals levensreddende medische hulpmiddelen, brengen een bijzonder hoog risico op het veroorzaken van schade aan mensen mee en geven derhalve aanleiding tot bijzonder hoge veiligheidsverwachtingen. Om met dergelijke verwachtingen rekening te houden, moet een rechterlijke instantie kunnen vaststellen dat een product gebrekkig is zonder de daadwerkelijke gebrekkigheid ervan vast te stellen, wanneer het tot dezelfde productieserie behoort als een product waarvan reeds is aangetoond dat het gebrekkig is.</t>
        </is>
      </c>
      <c r="H34" s="3" t="inlineStr">
        <is>
          <t>Overweging 30 Richtlijn 2024/2853; aangehaald door Mutsaerts in WAAR&amp;WET 2025 (syllabus module 2, Franken).</t>
        </is>
      </c>
      <c r="I34" s="3" t="inlineStr">
        <is>
          <t>B. Mutsaerts, 'Wijziging aansprakelijkheid; wees voorbereid', WAAR&amp;WET juli 2025</t>
        </is>
      </c>
      <c r="J34" s="3" t="inlineStr"/>
      <c r="K34" s="3" t="inlineStr"/>
    </row>
    <row r="35" ht="96" customHeight="1">
      <c r="A35" s="3" t="inlineStr">
        <is>
          <t>card_034</t>
        </is>
      </c>
      <c r="B35" s="3" t="inlineStr">
        <is>
          <t>02</t>
        </is>
      </c>
      <c r="C35" s="3" t="inlineStr">
        <is>
          <t>Franken, inleiding syllabus</t>
        </is>
      </c>
      <c r="D35" s="3" t="inlineStr">
        <is>
          <t>leerstuk</t>
        </is>
      </c>
      <c r="E35" s="3" t="inlineStr">
        <is>
          <t>Hoe staan de buitencontractuele productaansprakelijkheid (Afd. 6.3.3 BW) en het leerstuk van de ongeschikte hulpzaak (art. 6:77 BW) tot elkaar?</t>
        </is>
      </c>
      <c r="F35" s="3" t="inlineStr">
        <is>
          <t>Beide kunnen naast elkaar van toepassing zijn. Art. 6:77 BW regelt de contractuele aansprakelijkheid van een schuldenaar voor gebreken in een zaak die hij bij de uitvoering van een verbintenis gebruikt; Afd. 6.3.3 BW regelt de buitencontractuele aansprakelijkheid van de producent. Schending van het ene kan tegelijk schending van het andere opleveren.</t>
        </is>
      </c>
      <c r="G35" s="3" t="inlineStr">
        <is>
          <t>HvJ 5 maart 2015, C-503 en 504/13 (Boston Scientific): de schade veroorzaakt door een chirurgische ingreep ter vervanging van een gebrekkig product zoals een pacemaker of een implanteerbare cardioverter-defibrillator is „schade veroorzaakt door dood of door lichamelijk letsel", waarvoor de producent aansprakelijk is wanneer deze ingreep noodzakelijk is om het gebrek van het betrokken product te verhelpen.</t>
        </is>
      </c>
      <c r="H35" s="3" t="inlineStr">
        <is>
          <t>Asser/Sieburgh 6-IV 2019/268, aangehaald in syllabus module 2 (Franken), p. 69.</t>
        </is>
      </c>
      <c r="I35" s="3" t="inlineStr">
        <is>
          <t>Art. 6:77 BW; HR 19 juni 2020, ECLI:NL:HR:2020:1090 (Beadle v. MST)</t>
        </is>
      </c>
      <c r="J35" s="3" t="inlineStr"/>
      <c r="K35" s="3" t="inlineStr"/>
    </row>
    <row r="36" ht="96" customHeight="1">
      <c r="A36" s="3" t="inlineStr">
        <is>
          <t>card_035</t>
        </is>
      </c>
      <c r="B36" s="3" t="inlineStr">
        <is>
          <t>02</t>
        </is>
      </c>
      <c r="C36" s="3" t="inlineStr">
        <is>
          <t>Asser/Hartkamp &amp; Sieburgh 6-IV</t>
        </is>
      </c>
      <c r="D36" s="3" t="inlineStr">
        <is>
          <t>leerstuk</t>
        </is>
      </c>
      <c r="E36" s="3" t="inlineStr">
        <is>
          <t>Wat houdt de hoofdregel van art. 6:77 BW in over aansprakelijkheid voor ongeschikte hulpzaken?</t>
        </is>
      </c>
      <c r="F36" s="3" t="inlineStr">
        <is>
          <t>Is bij de uitvoering van een verbintenis een zaak gebruikt die daartoe ongeschikt is, dan wordt de tekortkoming die daardoor ontstaat toegerekend aan de schuldenaar, tenzij dit, gelet op inhoud en strekking van de overeenkomst, de verkeersopvattingen en de omstandigheden, onredelijk zou zijn.</t>
        </is>
      </c>
      <c r="G36" s="3" t="inlineStr">
        <is>
          <t>Is bij de uitvoering van een verbintenis gebruik gemaakt van een zaak die daartoe ongeschikt is, dan wordt de tekortkoming die daardoor ontstaat de schuldenaar toegerekend, tenzij dit, gelet op inhoud en strekking van de rechtshandeling waaruit de verbintenis voortspruit, de in het verkeer geldende opvattingen en de overige omstandigheden van het geval, onredelijk zou zijn.</t>
        </is>
      </c>
      <c r="H36" s="3" t="inlineStr">
        <is>
          <t>Basisnorm voor contractuele risicoaansprakelijkheid voor zaken; tenzij-clausule biedt ruimte voor billijkheidscorrectie.</t>
        </is>
      </c>
      <c r="I36" s="3" t="inlineStr">
        <is>
          <t>Art. 6:77 BW</t>
        </is>
      </c>
      <c r="J36" s="3" t="inlineStr"/>
      <c r="K36" s="3" t="inlineStr"/>
    </row>
    <row r="37" ht="96" customHeight="1">
      <c r="A37" s="3" t="inlineStr">
        <is>
          <t>card_036</t>
        </is>
      </c>
      <c r="B37" s="3" t="inlineStr">
        <is>
          <t>02</t>
        </is>
      </c>
      <c r="C37" s="3" t="inlineStr">
        <is>
          <t>PIP-implantaten / Miragel-plombe-lijn</t>
        </is>
      </c>
      <c r="D37" s="3" t="inlineStr">
        <is>
          <t>arrest</t>
        </is>
      </c>
      <c r="E37" s="3" t="inlineStr">
        <is>
          <t>Hoe beoordeelt de Hoge Raad de aansprakelijkheid van een arts of ziekenhuis voor een gebrekkig medisch hulpmiddel onder art. 6:77 BW?</t>
        </is>
      </c>
      <c r="F37" s="3" t="inlineStr">
        <is>
          <t>De hulpverlener is in beginsel niet aansprakelijk voor gebrekkigheid van een hulpzaak die op het moment van gebruik conform de stand van de wetenschap was (state-of-the-art); toerekening op grond van art. 6:77 BW zou dan onredelijk zijn. De beslissing blijft echter afhankelijk van alle omstandigheden.</t>
        </is>
      </c>
      <c r="G37" s="3" t="inlineStr">
        <is>
          <t>Op basis van de vaststelling dat producten die vallen binnen dezelfde groep of productieserie van producten – zoals pacemakers – een potentieel gebrek vertonen, kan een dergelijk product als gebrekkig worden aangemerkt zonder dat moet worden vastgesteld dat dit product concreet zelf dit gebrek vertoont.</t>
        </is>
      </c>
      <c r="H37" s="3" t="inlineStr">
        <is>
          <t>HvJ EU Boston Scientific Medizintechnik/AOK Sachsen-Anhalt (C-503/13 en C-504/13), parafrase in Mutsaerts, WAAR&amp;WET 2025 (syllabus module 2).</t>
        </is>
      </c>
      <c r="I37" s="3" t="inlineStr">
        <is>
          <t>HR 19 juni 2020, ECLI:NL:HR:2020:1090 (Miragel-plombe)</t>
        </is>
      </c>
      <c r="J37" s="3" t="inlineStr"/>
      <c r="K37" s="3" t="inlineStr"/>
    </row>
    <row r="38" ht="96" customHeight="1">
      <c r="A38" s="3" t="inlineStr">
        <is>
          <t>card_037</t>
        </is>
      </c>
      <c r="B38" s="3" t="inlineStr">
        <is>
          <t>02</t>
        </is>
      </c>
      <c r="C38" s="3" t="inlineStr">
        <is>
          <t>Franken, syllabus — exoneraties</t>
        </is>
      </c>
      <c r="D38" s="3" t="inlineStr">
        <is>
          <t>leerstuk</t>
        </is>
      </c>
      <c r="E38" s="3" t="inlineStr">
        <is>
          <t>Onder welke omstandigheden wordt een beroep op een exoneratieclausule in een B2B-overeenkomst naar maatstaven van redelijkheid en billijkheid onaanvaardbaar geacht?</t>
        </is>
      </c>
      <c r="F38" s="3" t="inlineStr">
        <is>
          <t>Volgens Saladin/HBU en Matatag-criteria: bij ernstig verwijtbare tekortkoming (opzet of bewuste roekeloosheid) van de schuldenaar of leidinggevenden, gelet op de aard en ernst van de schade, de mate van schuld, de onderlinge verhouding van partijen en de wijze van totstandkoming van het beding.</t>
        </is>
      </c>
      <c r="G38" s="3" t="inlineStr">
        <is>
          <t>Een beroep op een exoneratiebeding kan naar maatstaven van redelijkheid en billijkheid onaanvaardbaar zijn, bijvoorbeeld indien de schade is te wijten aan opzet of bewuste roekeloosheid van de schuldenaar of van met de leiding van zijn bedrijf belaste personen.</t>
        </is>
      </c>
      <c r="H38" s="3" t="inlineStr">
        <is>
          <t>Saladin/HBU-lijn (HR 19 mei 1967, NJ 1967/261) + HR 12 december 1997, NJ 1998/208 (Stein/Driessen) + latere nuanceringen.</t>
        </is>
      </c>
      <c r="I38" s="3" t="inlineStr">
        <is>
          <t>HR 12 december 1997, NJ 1998/208 (Stein/Driessen); HR 5 september 2008, NJ 2008/480 (Telfort/Scaramea)</t>
        </is>
      </c>
      <c r="J38" s="3" t="inlineStr"/>
      <c r="K38" s="3" t="inlineStr"/>
    </row>
    <row r="39" ht="96" customHeight="1">
      <c r="A39" s="3" t="inlineStr">
        <is>
          <t>card_038</t>
        </is>
      </c>
      <c r="B39" s="3" t="inlineStr">
        <is>
          <t>02</t>
        </is>
      </c>
      <c r="C39" s="3" t="inlineStr">
        <is>
          <t>Voorbeeld AVB-polisvoorwaarden</t>
        </is>
      </c>
      <c r="D39" s="3" t="inlineStr">
        <is>
          <t>term</t>
        </is>
      </c>
      <c r="E39" s="3" t="inlineStr">
        <is>
          <t>Wat is het dekkingsbereik van een standaard AVB-verzekering (aansprakelijkheid voor bedrijven)?</t>
        </is>
      </c>
      <c r="F39" s="3" t="inlineStr">
        <is>
          <t>De AVB dekt de aansprakelijkheid van de verzekerde voor schade aan personen (letselschade) en zaken (zaakschade) die is toegebracht aan derden, inclusief gevolgschade. Typisch uitgesloten: zuivere vermogensschade, schade aan onder de verzekerde zijnde zaken, boetes, opzettelijk toegebrachte schade en beroepsfouten (die hebben een aparte beroepsaansprakelijkheidsverzekering nodig).</t>
        </is>
      </c>
      <c r="G39" s="3" t="inlineStr">
        <is>
          <t>Onder de AVB-dekking valt de aansprakelijkheid van verzekerde voor door derden geleden schade aan personen en zaken, inclusief de daaruit voortvloeiende gevolgschade.</t>
        </is>
      </c>
      <c r="H39" s="3" t="inlineStr">
        <is>
          <t>Franken bespreekt de AVB omdat productaansprakelijkheid en bedrijfsaansprakelijkheid vaak via de AVB worden afgewikkeld.</t>
        </is>
      </c>
      <c r="I39" s="3" t="inlineStr">
        <is>
          <t>Voorbeeld polisvoorwaarden AVB (syllabus Franken, p. 89 e.v.)</t>
        </is>
      </c>
      <c r="J39" s="3" t="inlineStr"/>
      <c r="K39" s="3" t="inlineStr"/>
    </row>
    <row r="40" ht="96" customHeight="1">
      <c r="A40" s="3" t="inlineStr">
        <is>
          <t>card_039</t>
        </is>
      </c>
      <c r="B40" s="3" t="inlineStr">
        <is>
          <t>02</t>
        </is>
      </c>
      <c r="C40" s="3" t="inlineStr">
        <is>
          <t>Franken, inleiding syllabus</t>
        </is>
      </c>
      <c r="D40" s="3" t="inlineStr">
        <is>
          <t>leerstuk</t>
        </is>
      </c>
      <c r="E40" s="3" t="inlineStr">
        <is>
          <t>Wat is het verschil tussen een 'claims made'- en een 'loss occurrence'-dekking in een AVB-polis?</t>
        </is>
      </c>
      <c r="F40" s="3" t="inlineStr">
        <is>
          <t>Claims made: gedekt zijn aanspraken die tijdens de verzekeringsperiode bij de verzekeraar worden gemeld, ongeacht wanneer de schade is veroorzaakt. Loss occurrence: gedekt is de schade die tijdens de verzekeringsperiode is ontstaan, ongeacht wanneer zij wordt gemeld. In Nederland is claims made sinds de jaren '90 dominant bij AVB.</t>
        </is>
      </c>
      <c r="G40" s="3" t="inlineStr">
        <is>
          <t>Aan de hand van HR 10 januari 2020, ECLI:NL:HR:2020:27, NJ 2020/45 (soldeermachine): voor aansprakelijkheid op grond van art. 6:173 BW is vereist dat de zaak een gebrek heeft dat een bijzonder gevaar voor personen of zaken oplevert; de omstandigheid dat een zaak niet „zo veilig is als men daarvan [...] mag verwachten" leidt niet zonder meer tot het oordeel dat de zaak gebrekkig is.</t>
        </is>
      </c>
      <c r="H40" s="3" t="inlineStr">
        <is>
          <t>Syllabus module 2 (Franken), voetnoot 740 en begeleidende tekst.</t>
        </is>
      </c>
      <c r="I40" s="3" t="inlineStr">
        <is>
          <t>Praktische leerstuk uit Franken-syllabus; zie ook J. Wansink, De algemene aansprakelijkheidsverzekering, 4e dr., Kluwer 2016</t>
        </is>
      </c>
      <c r="J40" s="3" t="inlineStr"/>
      <c r="K40" s="3" t="inlineStr"/>
    </row>
    <row r="41" ht="96" customHeight="1">
      <c r="A41" s="4" t="inlineStr">
        <is>
          <t>card_040</t>
        </is>
      </c>
      <c r="B41" s="4" t="inlineStr">
        <is>
          <t>05</t>
        </is>
      </c>
      <c r="C41" s="4" t="inlineStr">
        <is>
          <t>Art. 6:76 BW</t>
        </is>
      </c>
      <c r="D41" s="4" t="inlineStr">
        <is>
          <t>artikel</t>
        </is>
      </c>
      <c r="E41" s="4" t="inlineStr">
        <is>
          <t>Wat is de hoofdregel van art. 6:76 BW over aansprakelijkheid voor hulppersonen in contractuele verhoudingen?</t>
        </is>
      </c>
      <c r="F41" s="4" t="inlineStr">
        <is>
          <t>Maakt een schuldenaar bij de uitvoering van een verbintenis gebruik van hulp van andere personen, dan is hij voor hun gedragingen op gelijke wijze aansprakelijk als voor eigen gedragingen. Ruime risicoaansprakelijkheid, zonder 'functioneel verband'-toets zoals bij 6:170.</t>
        </is>
      </c>
      <c r="G41" s="4" t="inlineStr">
        <is>
          <t>Maakt de schuldenaar bij de uitvoering van een verbintenis gebruik van de hulp van andere personen, dan is hij voor hun gedragingen op gelijke wijze als voor eigen gedragingen aansprakelijk.</t>
        </is>
      </c>
      <c r="H41" s="4" t="inlineStr">
        <is>
          <t>Kernbepaling contractuele hulppersoonaansprakelijkheid. Moet worden onderscheiden van niet-contractuele 6:170-aansprakelijkheid.</t>
        </is>
      </c>
      <c r="I41" s="4" t="inlineStr">
        <is>
          <t>Art. 6:76 BW</t>
        </is>
      </c>
      <c r="J41" s="4" t="inlineStr"/>
      <c r="K41" s="4" t="inlineStr"/>
    </row>
    <row r="42" ht="96" customHeight="1">
      <c r="A42" s="4" t="inlineStr">
        <is>
          <t>card_041</t>
        </is>
      </c>
      <c r="B42" s="4" t="inlineStr">
        <is>
          <t>05</t>
        </is>
      </c>
      <c r="C42" s="4" t="inlineStr">
        <is>
          <t>Art. 6:170 BW</t>
        </is>
      </c>
      <c r="D42" s="4" t="inlineStr">
        <is>
          <t>artikel</t>
        </is>
      </c>
      <c r="E42" s="4" t="inlineStr">
        <is>
          <t>Onder welke vier voorwaarden is de werkgever op grond van art. 6:170 lid 1 BW aansprakelijk voor een fout van zijn ondergeschikte?</t>
        </is>
      </c>
      <c r="F42" s="4" t="inlineStr">
        <is>
          <t>(1) De ondergeschikte heeft een fout gemaakt (onrechtmatige daad die hem kan worden toegerekend); (2) er bestaat een gezagsrelatie; (3) de kans op de fout is door de opgedragen taak vergroot ('functioneel verband'); (4) de werkgever had zeggenschap over de gedragingen waarin de fout was gelegen.</t>
        </is>
      </c>
      <c r="G42" s="4" t="inlineStr">
        <is>
          <t>Voor schade, aan een derde toegebracht door een fout van een ondergeschikte, is degene in wiens dienst de ondergeschikte zijn taak vervult aansprakelijk, indien de kans op de fout door de opdracht tot het verrichten van deze taak is vergroot en degene in wiens dienst hij stond, uit hoofde van hun desbetreffende rechtsbetrekking zeggenschap had over de gedragingen waarin de fout was gelegen.</t>
        </is>
      </c>
      <c r="H42" s="4" t="inlineStr">
        <is>
          <t>Risicoaansprakelijkheid van de werkgever. Zowel formele (arbeidsovereenkomst) als materiële ondergeschiktheid kunnen het gezag opleveren.</t>
        </is>
      </c>
      <c r="I42" s="4" t="inlineStr">
        <is>
          <t>Art. 6:170 lid 1 BW</t>
        </is>
      </c>
      <c r="J42" s="4" t="inlineStr"/>
      <c r="K42" s="4" t="inlineStr"/>
    </row>
    <row r="43" ht="96" customHeight="1">
      <c r="A43" s="4" t="inlineStr">
        <is>
          <t>card_042</t>
        </is>
      </c>
      <c r="B43" s="4" t="inlineStr">
        <is>
          <t>05</t>
        </is>
      </c>
      <c r="C43" s="4" t="inlineStr">
        <is>
          <t>Geldnet/Kwantum (HR 14 juni 2002)</t>
        </is>
      </c>
      <c r="D43" s="4" t="inlineStr">
        <is>
          <t>arrest</t>
        </is>
      </c>
      <c r="E43" s="4" t="inlineStr">
        <is>
          <t>Kan een schuldenaar zich onder art. 6:76 BW verschuilen achter een onafhankelijke opdrachtnemer die bij de uitvoering is ingeschakeld?</t>
        </is>
      </c>
      <c r="F43" s="4" t="inlineStr">
        <is>
          <t>Nee, niet zonder meer. Ook zelfstandige opdrachtnemers kunnen 'hulp bij de uitvoering' opleveren als zij worden ingezet bij de uitvoering van de verbintenis van de schuldenaar jegens zijn wederpartij. De schuldenaar is dan voor hun gedragingen aansprakelijk.</t>
        </is>
      </c>
      <c r="G43" s="4" t="inlineStr">
        <is>
          <t>Mede gelet op de geschiedenis van de totstandkoming van art. 6:76 moet de kring van personen waarop deze bepaling betrekking heeft, niet ruim worden getrokken en bestaat — overeenkomstig de tekst — alleen aansprakelijkheid op grond van deze bepaling voor personen van wie de hulp wordt gebruikt bij de uitvoering van de verbintenis ten aanzien waarvan de aansprakelijkheid in het geding is.</t>
        </is>
      </c>
      <c r="H43" s="4" t="inlineStr">
        <is>
          <t>HR Geldnet/Kwantum, rov.; letterlijk in syllabus module 5 (Ondergeschikten), p. 13 en p. 25.</t>
        </is>
      </c>
      <c r="I43" s="4" t="inlineStr">
        <is>
          <t>HR 14 juni 2002, ECLI:NL:HR:2002:AE0657, NJ 2002/495 (Geldnet/Kwantum)</t>
        </is>
      </c>
      <c r="J43" s="4" t="inlineStr"/>
      <c r="K43" s="4" t="inlineStr"/>
    </row>
    <row r="44" ht="96" customHeight="1">
      <c r="A44" s="4" t="inlineStr">
        <is>
          <t>card_043</t>
        </is>
      </c>
      <c r="B44" s="4" t="inlineStr">
        <is>
          <t>05</t>
        </is>
      </c>
      <c r="C44" s="4" t="inlineStr">
        <is>
          <t>Kleuterschool Babbel (HR 6 april 1979)</t>
        </is>
      </c>
      <c r="D44" s="4" t="inlineStr">
        <is>
          <t>arrest</t>
        </is>
      </c>
      <c r="E44" s="4" t="inlineStr">
        <is>
          <t>Wanneer kan een onrechtmatige gedraging van een functionaris aan een rechtspersoon worden toegerekend buiten art. 6:170 BW om?</t>
        </is>
      </c>
      <c r="F44" s="4" t="inlineStr">
        <is>
          <t>Wanneer de gedraging in het maatschappelijk verkeer als een gedraging van de rechtspersoon zelf heeft te gelden. De orgaantheorie (art. 2:5 BW in combinatie met verkeersopvattingen) maakt de rechtspersoon dan rechtstreeks aansprakelijk uit 6:162 BW.</t>
        </is>
      </c>
      <c r="G44" s="4" t="inlineStr">
        <is>
          <t>Gedragingen van een bestuurder of functionaris kunnen in het maatschappelijk verkeer als gedragingen van de rechtspersoon worden aangemerkt, indien zij zijn verricht in de hoedanigheid van orgaan of werknemer van die rechtspersoon.</t>
        </is>
      </c>
      <c r="H44" s="4" t="inlineStr">
        <is>
          <t>Orgaantheorie: de rechtspersoon handelt zelf onrechtmatig, niet via afgeleide aansprakelijkheid. Fundamenteel voor bestuurdersaansprakelijkheid.</t>
        </is>
      </c>
      <c r="I44" s="4" t="inlineStr">
        <is>
          <t>HR 6 april 1979, NJ 1980/34 (Kleuterschool Babbel)</t>
        </is>
      </c>
      <c r="J44" s="4" t="inlineStr"/>
      <c r="K44" s="4" t="inlineStr"/>
    </row>
    <row r="45" ht="96" customHeight="1">
      <c r="A45" s="4" t="inlineStr">
        <is>
          <t>card_044</t>
        </is>
      </c>
      <c r="B45" s="4" t="inlineStr">
        <is>
          <t>05</t>
        </is>
      </c>
      <c r="C45" s="4" t="inlineStr">
        <is>
          <t>Laurus/Vomar (HR 16 maart 2007)</t>
        </is>
      </c>
      <c r="D45" s="4" t="inlineStr">
        <is>
          <t>arrest</t>
        </is>
      </c>
      <c r="E45" s="4" t="inlineStr">
        <is>
          <t>Kunnen gedragingen van een werknemer als gedragingen van de rechtspersoon worden toegerekend onder de orgaantheorie, zelfs als die werknemer geen bestuurder is?</t>
        </is>
      </c>
      <c r="F45" s="4" t="inlineStr">
        <is>
          <t>Ja. Ook het handelen van een werknemer kan in het maatschappelijk verkeer als gedraging van de rechtspersoon hebben te gelden, zeker wanneer de werknemer daartoe bevoegd was en de gedraging in lijn met zijn functie ligt. Niet slechts bestuurders komen in aanmerking.</t>
        </is>
      </c>
      <c r="G45" s="4" t="inlineStr">
        <is>
          <t>Onvoldoende uitwerking stellingen dat kennis van de beheerder van vastgoed aan de eigenaar moet worden toegerekend. Het antwoord op de vraag of van toerekening van kennis buiten vertegenwoordiging sprake dient te zijn, hangt af van de omstandigheden van het geval; in cassatie is voor een onderzoek op dat punt geen plaats.</t>
        </is>
      </c>
      <c r="H45" s="4" t="inlineStr">
        <is>
          <t>HR Laurus/Vomar, essentie; syllabus module 5 (Ondergeschikten), p. 51 en beknopte rechtsregel p. 14.</t>
        </is>
      </c>
      <c r="I45" s="4" t="inlineStr">
        <is>
          <t>HR 16 maart 2007, ECLI:NL:HR:2007:AZ6530, NJ 2007/232 (Laurus/Vomar)</t>
        </is>
      </c>
      <c r="J45" s="4" t="inlineStr"/>
      <c r="K45" s="4" t="inlineStr"/>
    </row>
    <row r="46" ht="96" customHeight="1">
      <c r="A46" s="4" t="inlineStr">
        <is>
          <t>card_045</t>
        </is>
      </c>
      <c r="B46" s="4" t="inlineStr">
        <is>
          <t>05</t>
        </is>
      </c>
      <c r="C46" s="4" t="inlineStr">
        <is>
          <t>Oosterparkrellen (HR 9 juli 2004)</t>
        </is>
      </c>
      <c r="D46" s="4" t="inlineStr">
        <is>
          <t>arrest</t>
        </is>
      </c>
      <c r="E46" s="4" t="inlineStr">
        <is>
          <t>Kan de politie (de Staat) onder art. 6:170 BW aansprakelijk zijn voor geweld gepleegd door politieambtenaren tijdens een optreden?</t>
        </is>
      </c>
      <c r="F46" s="4" t="inlineStr">
        <is>
          <t>Ja. De kans op de fout (onrechtmatig geweld) wordt vergroot door de opgedragen taak (optreden bij rellen), en de werkgever (Staat) heeft zeggenschap over de uitoefening van de politietaak. Aansprakelijkheid op grond van 6:170 BW in combinatie met 6:162 BW.</t>
        </is>
      </c>
      <c r="G46" s="4" t="inlineStr">
        <is>
          <t>Niet uitgesloten is dat ook degene die het gezag over de politie heeft, aansprakelijk kan worden gehouden voor fouten van de politie, waaronder mede begrepen het niet-optreden van de politie waar dit wel is vereist, en de daardoor ontstane schade. De enkele omstandigheid dat dit gezag door de burgemeester als orgaan van de gemeente wordt uitgeoefend, ongeacht of hij daarbij daadwerkelijk betrokken is, is voldoende om aan te nemen dat is voldaan aan het bepaalde in art. 6:170 lid 1 BW.</t>
        </is>
      </c>
      <c r="H46" s="4" t="inlineStr">
        <is>
          <t>HR Oosterparkrellen, essentie; syllabus module 5 (Ondergeschikten), p. 68.</t>
        </is>
      </c>
      <c r="I46" s="4" t="inlineStr">
        <is>
          <t>HR 9 juli 2004, ECLI:NL:HR:2004:AO7221, NJ 2005/391 (Oosterparkrellen)</t>
        </is>
      </c>
      <c r="J46" s="4" t="inlineStr"/>
      <c r="K46" s="4" t="inlineStr"/>
    </row>
    <row r="47" ht="96" customHeight="1">
      <c r="A47" s="4" t="inlineStr">
        <is>
          <t>card_046</t>
        </is>
      </c>
      <c r="B47" s="4" t="inlineStr">
        <is>
          <t>05</t>
        </is>
      </c>
      <c r="C47" s="4" t="inlineStr">
        <is>
          <t>Davelaar/Allspan (HR 23 maart 2012)</t>
        </is>
      </c>
      <c r="D47" s="4" t="inlineStr">
        <is>
          <t>arrest</t>
        </is>
      </c>
      <c r="E47" s="4" t="inlineStr">
        <is>
          <t>Valt een zzp'er onder het begrip 'ondergeschikte' in art. 6:170 BW of onder 'niet-ondergeschikte' in art. 6:171 BW?</t>
        </is>
      </c>
      <c r="F47" s="4" t="inlineStr">
        <is>
          <t>In beginsel onder art. 6:171 BW (niet-ondergeschikten). Art. 6:170 BW vereist een gezagsrelatie die bij zelfstandigen typisch ontbreekt. Voor 6:171 geldt wel een beperkte reikwijdte: aansprakelijkheid alleen als de zzp'er werkzaamheden verricht ter uitoefening van het bedrijf van de opdrachtgever en tegenover derden als 'eenheid' verschijnt.</t>
        </is>
      </c>
      <c r="G47" s="4" t="inlineStr">
        <is>
          <t>Art. 7:658 lid 4 BW leent zich voor toepassing indien de persoon die buiten dienstbetrekking werkzaamheden verricht, voor de zorg voor zijn veiligheid (mede) afhankelijk is van degene voor wie hij die werkzaamheden verricht. [...] Aangenomen moet worden dat de reikwijdte van de bepaling niet beperkt is tot werkzaamheden die tot het wezen van de beroeps- of bedrijfsuitoefening van de desbetreffende opdrachtgever kunnen worden gerekend of normaal gesproken in het verlengde daarvan liggen.</t>
        </is>
      </c>
      <c r="H47" s="4" t="inlineStr">
        <is>
          <t>HR Davelaar/Allspan, rov.; syllabus module 5 (Ondergeschikten), p. 77.</t>
        </is>
      </c>
      <c r="I47" s="4" t="inlineStr">
        <is>
          <t>HR 23 maart 2012, ECLI:NL:HR:2012:BV0616, NJ 2014/414 (Davelaar/Allspan)</t>
        </is>
      </c>
      <c r="J47" s="4" t="inlineStr"/>
      <c r="K47" s="4" t="inlineStr"/>
    </row>
    <row r="48" ht="96" customHeight="1">
      <c r="A48" s="4" t="inlineStr">
        <is>
          <t>card_047</t>
        </is>
      </c>
      <c r="B48" s="4" t="inlineStr">
        <is>
          <t>05</t>
        </is>
      </c>
      <c r="C48" s="4" t="inlineStr">
        <is>
          <t>Art. 6:171 BW</t>
        </is>
      </c>
      <c r="D48" s="4" t="inlineStr">
        <is>
          <t>artikel</t>
        </is>
      </c>
      <c r="E48" s="4" t="inlineStr">
        <is>
          <t>Wanneer is de opdrachtgever aansprakelijk voor fouten van een niet-ondergeschikte op grond van art. 6:171 BW?</t>
        </is>
      </c>
      <c r="F48" s="4" t="inlineStr">
        <is>
          <t>Als een niet-ondergeschikte in opdracht van een ander werkzaamheden ter uitoefening van diens bedrijf verricht en daarbij jegens een derde een fout maakt, is die ander voor die fout aansprakelijk. Vereist: (a) opdrachtrelatie, (b) werkzaamheden ter uitoefening van diens bedrijf, (c) fout jegens een derde.</t>
        </is>
      </c>
      <c r="G48" s="4" t="inlineStr">
        <is>
          <t>Indien een niet ondergeschikte die in opdracht van een ander werkzaamheden ter uitoefening van diens bedrijf verricht, jegens een derde aansprakelijk is voor een bij die werkzaamheden begane fout, is ook die ander jegens de derde aansprakelijk.</t>
        </is>
      </c>
      <c r="H48" s="4" t="inlineStr">
        <is>
          <t>Complementair aan 6:170. Restrictief uitgelegd sinds Davelaar/Allspan: werkzaamheden moeten 'kenmerkend' voor bedrijf opdrachtgever zijn.</t>
        </is>
      </c>
      <c r="I48" s="4" t="inlineStr">
        <is>
          <t>Art. 6:171 BW</t>
        </is>
      </c>
      <c r="J48" s="4" t="inlineStr"/>
      <c r="K48" s="4" t="inlineStr"/>
    </row>
    <row r="49" ht="96" customHeight="1">
      <c r="A49" s="4" t="inlineStr">
        <is>
          <t>card_048</t>
        </is>
      </c>
      <c r="B49" s="4" t="inlineStr">
        <is>
          <t>05</t>
        </is>
      </c>
      <c r="C49" s="4" t="inlineStr">
        <is>
          <t>Art. 6:172 BW</t>
        </is>
      </c>
      <c r="D49" s="4" t="inlineStr">
        <is>
          <t>artikel</t>
        </is>
      </c>
      <c r="E49" s="4" t="inlineStr">
        <is>
          <t>Onder welke voorwaarden is een vertegenwoordigde aansprakelijk voor een onrechtmatige daad van zijn vertegenwoordiger op grond van art. 6:172 BW?</t>
        </is>
      </c>
      <c r="F49" s="4" t="inlineStr">
        <is>
          <t>Als de fout is begaan bij de uitoefening van een bevoegdheid die hem door de vertegenwoordigde is verleend, en de vertegenwoordiger als zodanig bij die gedraging heeft gehandeld. Risicoaansprakelijkheid van de vertegenwoordigde, ongeacht schuld.</t>
        </is>
      </c>
      <c r="G49" s="4" t="inlineStr">
        <is>
          <t>Indien een fout van een vertegenwoordiger bij de uitoefening van zijn bevoegdheid een derde wordt toegebracht, is de vertegenwoordigde voor die fout aansprakelijk.</t>
        </is>
      </c>
      <c r="H49" s="4" t="inlineStr">
        <is>
          <t>Minder bekende tegenhanger van 6:170/6:171 voor vertegenwoordigingssituaties buiten arbeids- of bedrijfsrelatie.</t>
        </is>
      </c>
      <c r="I49" s="4" t="inlineStr">
        <is>
          <t>Art. 6:172 BW</t>
        </is>
      </c>
      <c r="J49" s="4" t="inlineStr"/>
      <c r="K49" s="4" t="inlineStr"/>
    </row>
    <row r="50" ht="96" customHeight="1">
      <c r="A50" s="4" t="inlineStr">
        <is>
          <t>card_049</t>
        </is>
      </c>
      <c r="B50" s="4" t="inlineStr">
        <is>
          <t>05</t>
        </is>
      </c>
      <c r="C50" s="4" t="inlineStr">
        <is>
          <t>Logistics Solutions/TSM (HR 22 april 2022)</t>
        </is>
      </c>
      <c r="D50" s="4" t="inlineStr">
        <is>
          <t>arrest</t>
        </is>
      </c>
      <c r="E50" s="4" t="inlineStr">
        <is>
          <t>Hoe verhoudt art. 6:76 BW zich tot een contractuele exoneratie ten behoeve van de hulppersoon zelf (Derdenwerking)?</t>
        </is>
      </c>
      <c r="F50" s="4" t="inlineStr">
        <is>
          <t>De schuldenaar kan via art. 6:76 BW aansprakelijk worden gehouden voor gedragingen van de hulppersoon, ook als de hulppersoon zich jegens de schuldeiser op een exoneratie zou kunnen beroepen. De derdenwerking van exoneraties wordt restrictief uitgelegd.</t>
        </is>
      </c>
      <c r="G50" s="4" t="inlineStr">
        <is>
          <t>Een grief dient voldoende duidelijk te zijn. Daarbij geldt dat het voor de rechter in hoger beroep en de wederpartij voldoende duidelijk moet zijn op welke gronden de bestreden uitspraak volgens de appellant behoort te worden vernietigd (vgl. HR 5 december 2003, NJ 2004/76).</t>
        </is>
      </c>
      <c r="H50" s="4" t="inlineStr">
        <is>
          <t>HR Logistics Solutions/TSM; syllabus module 5 (Ondergeschikten), NJ 2022/175. Let op: dit arrest betreft in hoofdzaak het grievenstelsel, niet 6:76.</t>
        </is>
      </c>
      <c r="I50" s="4" t="inlineStr">
        <is>
          <t>HR 22 april 2022, NJ 2022/175 (Logistics Solutions/TSM)</t>
        </is>
      </c>
      <c r="J50" s="4" t="inlineStr"/>
      <c r="K50" s="4" t="inlineStr"/>
    </row>
    <row r="51" ht="96" customHeight="1">
      <c r="A51" s="4" t="inlineStr">
        <is>
          <t>card_050</t>
        </is>
      </c>
      <c r="B51" s="4" t="inlineStr">
        <is>
          <t>05</t>
        </is>
      </c>
      <c r="C51" s="4" t="inlineStr">
        <is>
          <t>Rijpma/Groot (HR 2 december 2005)</t>
        </is>
      </c>
      <c r="D51" s="4" t="inlineStr">
        <is>
          <t>arrest</t>
        </is>
      </c>
      <c r="E51" s="4" t="inlineStr">
        <is>
          <t>Kan een beroepsbeoefenaar zijn aansprakelijkheid uit art. 6:76 BW beperken tot 'fouten van redelijk bekwame en redelijk handelende vakgenoten'?</t>
        </is>
      </c>
      <c r="F51" s="4" t="inlineStr">
        <is>
          <t>Nee, niet op die manier. Art. 6:76 BW legt een 'vol risico' op: de schuldenaar is voor gedragingen van zijn hulppersoon aansprakelijk op dezelfde wijze als voor eigen gedragingen. Het gedrag van de hulppersoon wordt dan beoordeeld aan de professionele standaard, maar de aansprakelijkheidsregel zelf is vol.</t>
        </is>
      </c>
      <c r="G51" s="4" t="inlineStr">
        <is>
          <t>Art. 6:101 lid 1 BW komt niet slechts voor toepassing in aanmerking indien de gedragingen van de benadeelde hebben bijgedragen aan de schade, maar eveneens indien sprake is van omstandigheden die in zijn risicosfeer liggen; bij zodanige omstandigheden kan worden gedacht aan gedragingen van een ander waarvoor de benadeelde jegens derden aansprakelijk is zoals bijvoorbeeld een hulppersoon als bedoeld in art. 6:76 BW.</t>
        </is>
      </c>
      <c r="H51" s="4" t="inlineStr">
        <is>
          <t>HR Rijpma/Groot, essentie; syllabus module 5 (Ondergeschikten), p. 27. Let op: arrest gaat over eigen schuld en reflexwerking van 6:76, niet over notarisaansprakelijkheid.</t>
        </is>
      </c>
      <c r="I51" s="4" t="inlineStr">
        <is>
          <t>HR 2 december 2005, ECLI:NL:HR:2005:AU5661, NJ 2006/444 (Rijpma/Groot)</t>
        </is>
      </c>
      <c r="J51" s="4" t="inlineStr"/>
      <c r="K51" s="4" t="inlineStr"/>
    </row>
    <row r="52" ht="96" customHeight="1">
      <c r="A52" s="4" t="inlineStr">
        <is>
          <t>card_051</t>
        </is>
      </c>
      <c r="B52" s="4" t="inlineStr">
        <is>
          <t>05</t>
        </is>
      </c>
      <c r="C52" s="4" t="inlineStr">
        <is>
          <t>Aquaphalt/Staat (HR 2 oktober 1998)</t>
        </is>
      </c>
      <c r="D52" s="4" t="inlineStr">
        <is>
          <t>arrest</t>
        </is>
      </c>
      <c r="E52" s="4" t="inlineStr">
        <is>
          <t>Is de Staat via art. 6:170 BW aansprakelijk voor schade veroorzaakt door ambtelijke inzet van een aannemer bij Rijkswerkzaamheden?</t>
        </is>
      </c>
      <c r="F52" s="4" t="inlineStr">
        <is>
          <t>Ja, mits sprake is van zodanige feitelijke zeggenschap dat materiële ondergeschiktheid kan worden aangenomen. Is er geen materieel gezag (de aannemer werkt zelfstandig), dan is 6:171 BW de aangewezen grondslag.</t>
        </is>
      </c>
      <c r="G52" s="4" t="inlineStr">
        <is>
          <t>Degene die een aanstelling als bewaarder aanvaardt, verplicht zich daarmee tot het opvolgen van zodanige instructies en aanwijzingen. Hierin ligt besloten dat de beslaglegger zodanige zeggenschap heeft over de gedragingen van de bewaarder bij de uitoefening van diens taak, dat sprake is van een ondergeschiktheid van de bewaarder aan de beslaglegger als waarop art. 1403 lid 3 het oog heeft.</t>
        </is>
      </c>
      <c r="H52" s="4" t="inlineStr">
        <is>
          <t>HR Aquaphalt/Staat, samenvatting; syllabus module 5 (Ondergeschikten), p. 62.</t>
        </is>
      </c>
      <c r="I52" s="4" t="inlineStr">
        <is>
          <t>HR 2 oktober 1998, NJ 1998/852 (Aquaphalt/Staat)</t>
        </is>
      </c>
      <c r="J52" s="4" t="inlineStr"/>
      <c r="K52" s="4" t="inlineStr"/>
    </row>
    <row r="53" ht="96" customHeight="1">
      <c r="A53" s="4" t="inlineStr">
        <is>
          <t>card_052</t>
        </is>
      </c>
      <c r="B53" s="4" t="inlineStr">
        <is>
          <t>05</t>
        </is>
      </c>
      <c r="C53" s="4" t="inlineStr">
        <is>
          <t>ControlPay/ABN-AMRO (HR 15 juli 2022)</t>
        </is>
      </c>
      <c r="D53" s="4" t="inlineStr">
        <is>
          <t>arrest</t>
        </is>
      </c>
      <c r="E53" s="4" t="inlineStr">
        <is>
          <t>Welk aspect van hulppersoonsaansprakelijkheid werkt HR ControlPay/ABN-AMRO uit?</t>
        </is>
      </c>
      <c r="F53" s="4" t="inlineStr">
        <is>
          <t>Dat art. 6:76 BW ook geldt bij uitbesteding van bancaire deelprocessen (zoals payrolling): ABN-AMRO blijft jegens haar wederpartij aansprakelijk voor fouten van de ingeschakelde derde, ondanks de feitelijke uitvoering door ControlPay.</t>
        </is>
      </c>
      <c r="G53" s="4" t="inlineStr">
        <is>
          <t>Naar Nederlands recht staat de deurwaarder niet ten opzichte van zijn opdrachtgever in een ondergeschikte verhouding. Een deurwaarder die beslag legt, doet dit in hoedanigheid van openbaar ambtenaar. [...] Weliswaar werden de werkzaamheden van de gerechtsdeurwaarder en de sekwester verricht ten behoeve van het bedrijf van ABN AMRO, maar niet kan worden geoordeeld dat deze ook ter uitoefening van haar bedrijf geschiedden.</t>
        </is>
      </c>
      <c r="H53" s="4" t="inlineStr">
        <is>
          <t>HR ControlPay/ABN-AMRO, rov. (hof-oordeel waartegen cassatie faalde); syllabus module 5 (Ondergeschikten), p. 84-85.</t>
        </is>
      </c>
      <c r="I53" s="4" t="inlineStr">
        <is>
          <t>HR 15 juli 2022, RvdW 2022/756 (ControlPay/ABN-AMRO)</t>
        </is>
      </c>
      <c r="J53" s="4" t="inlineStr"/>
      <c r="K53" s="4" t="inlineStr"/>
    </row>
    <row r="54" ht="96" customHeight="1">
      <c r="A54" s="4" t="inlineStr">
        <is>
          <t>card_053</t>
        </is>
      </c>
      <c r="B54" s="4" t="inlineStr">
        <is>
          <t>05</t>
        </is>
      </c>
      <c r="C54" s="4" t="inlineStr">
        <is>
          <t>MV/Zürich (HR 14 juli 2017)</t>
        </is>
      </c>
      <c r="D54" s="4" t="inlineStr">
        <is>
          <t>arrest</t>
        </is>
      </c>
      <c r="E54" s="4" t="inlineStr">
        <is>
          <t>Geldt de AVB-dekking van een werkgever ook voor schade die een werknemer aan zijn collega toebrengt?</t>
        </is>
      </c>
      <c r="F54" s="4" t="inlineStr">
        <is>
          <t>Ja, de AVB van de werkgever dekt in beginsel mede de aansprakelijkheid van een werknemer jegens een andere werknemer (zogenaamde 'werkgeversaansprakelijkheid voor fouten van werknemers'), tenzij de polis expliciet anders bepaalt.</t>
        </is>
      </c>
      <c r="G54" s="4" t="inlineStr">
        <is>
          <t>Mede gelet op de betekenis die een op art. 6:170 lid 1 BW gebaseerde, de werkgever veroordelende uitspraak kan hebben in een eventuele opvolgende procedure tegen de werknemer, maar gezien ook het nadeel dat een dergelijke uitspraak in ander opzicht (zoals voor zijn reputatie) voor de werknemer kan opleveren, dient de rechter in een op art. 6:170 BW stoelende procedure – waarin de werknemer zelf geen partij is – de onrechtmatigheid van het handelen van de werknemer niet anders te beoordelen dan indien de aansprakelijkheid van de werknemer zelf in het geding is.</t>
        </is>
      </c>
      <c r="H54" s="4" t="inlineStr">
        <is>
          <t>HR Spoorveiligheid/Zürich (JMV/Zürich), beknopte rechtsregel; syllabus module 5 (Ondergeschikten), p. 15.</t>
        </is>
      </c>
      <c r="I54" s="4" t="inlineStr">
        <is>
          <t>HR 14 juli 2017, NJ 2017/467 (MV/Zürich)</t>
        </is>
      </c>
      <c r="J54" s="4" t="inlineStr"/>
      <c r="K54" s="4" t="inlineStr"/>
    </row>
    <row r="55" ht="96" customHeight="1">
      <c r="A55" s="4" t="inlineStr">
        <is>
          <t>card_054</t>
        </is>
      </c>
      <c r="B55" s="4" t="inlineStr">
        <is>
          <t>05</t>
        </is>
      </c>
      <c r="C55" s="4" t="inlineStr">
        <is>
          <t>Beckers/Dexia (Hof Den Bosch 10 juni 2014 / HR 2 september 2016)</t>
        </is>
      </c>
      <c r="D55" s="4" t="inlineStr">
        <is>
          <t>arrest</t>
        </is>
      </c>
      <c r="E55" s="4" t="inlineStr">
        <is>
          <t>Welke rol speelt de 'zaakbehartigende' tussenpersoon bij aansprakelijkheid voor verkopers van effectenleaseproducten?</t>
        </is>
      </c>
      <c r="F55" s="4" t="inlineStr">
        <is>
          <t>De bank (Dexia) blijft jegens de afnemer aansprakelijk voor fouten van tussenpersonen die als hulppersoon bij het afsluiten van de overeenkomst zijn ingezet. De tussenpersoon wordt geacht te hebben gehandeld op grond van art. 6:76 BW.</t>
        </is>
      </c>
      <c r="G55" s="4" t="inlineStr">
        <is>
          <t>Spaarselect is in kader van de sluiting van effectenlease-overeenkomsten noch aan te merken als hulppersoon van Dexia in de zin van art. 6:76 BW (bemoeienis tijdens precontractuele fase), noch als niet-ondergeschikte in de zin van art. 6:171 BW (geen eenheid van onderneming).</t>
        </is>
      </c>
      <c r="H55" s="4" t="inlineStr">
        <is>
          <t>HR Beckers/Dexia, beknopte rechtsregel zoals in syllabus module 5 (Ondergeschikten), p. 14 en p. 21.</t>
        </is>
      </c>
      <c r="I55" s="4" t="inlineStr">
        <is>
          <t>HR 2 september 2016, ECLI:NL:HR:2016:2012, NJ 2017/9 (Beckers/Dexia)</t>
        </is>
      </c>
      <c r="J55" s="4" t="inlineStr"/>
      <c r="K55" s="4" t="inlineStr"/>
    </row>
    <row r="56" ht="96" customHeight="1">
      <c r="A56" s="4" t="inlineStr">
        <is>
          <t>card_055</t>
        </is>
      </c>
      <c r="B56" s="4" t="inlineStr">
        <is>
          <t>05</t>
        </is>
      </c>
      <c r="C56" s="4" t="inlineStr">
        <is>
          <t>Gelderland/Vitesse (HR 25 juni 2010)</t>
        </is>
      </c>
      <c r="D56" s="4" t="inlineStr">
        <is>
          <t>arrest</t>
        </is>
      </c>
      <c r="E56" s="4" t="inlineStr">
        <is>
          <t>Kan kennis van een bestuurder aan de rechtspersoon worden toegerekend bij beoordeling van onrechtmatig handelen?</t>
        </is>
      </c>
      <c r="F56" s="4" t="inlineStr">
        <is>
          <t>Ja, kennis van een bestuurder of leidinggevend functionaris kan in het maatschappelijk verkeer aan de rechtspersoon worden toegerekend, mits die kennis in de hoedanigheid van orgaan of werknemer is opgedaan en relevant is voor de onrechtmatige gedraging.</t>
        </is>
      </c>
      <c r="G56" s="4" t="inlineStr">
        <is>
          <t>Gedragingen van gedeputeerden kunnen een onrechtmatige daad van de provincie opleveren, mits de gedragingen in het maatschappelijk verkeer als gedragingen van de provincie hebben te gelden. Onder bijzondere omstandigheden kan een onbevoegd gedane toezegging als onrechtmatige daad [worden aangemerkt].</t>
        </is>
      </c>
      <c r="H56" s="4" t="inlineStr">
        <is>
          <t>HR Gelderland/Vitesse, beknopte rechtsregel; syllabus module 5 (Ondergeschikten), p. 14.</t>
        </is>
      </c>
      <c r="I56" s="4" t="inlineStr">
        <is>
          <t>HR 25 juni 2010, ECLI:NL:HR:2010:BL5420, NJ 2010/371 (Gelderland/Vitesse)</t>
        </is>
      </c>
      <c r="J56" s="4" t="inlineStr"/>
      <c r="K56" s="4" t="inlineStr"/>
    </row>
    <row r="57" ht="96" customHeight="1">
      <c r="A57" s="4" t="inlineStr">
        <is>
          <t>card_056</t>
        </is>
      </c>
      <c r="B57" s="4" t="inlineStr">
        <is>
          <t>05</t>
        </is>
      </c>
      <c r="C57" s="4" t="inlineStr">
        <is>
          <t>Van Bentum/Bos q.q. (HR 10 januari 2003)</t>
        </is>
      </c>
      <c r="D57" s="4" t="inlineStr">
        <is>
          <t>arrest</t>
        </is>
      </c>
      <c r="E57" s="4" t="inlineStr">
        <is>
          <t>Hoe werkt art. 6:170 BW door in een faillissement van de ondergeschikte?</t>
        </is>
      </c>
      <c r="F57" s="4" t="inlineStr">
        <is>
          <t>De aansprakelijkheid van de werkgever op grond van 6:170 BW blijft bestaan ook als de ondergeschikte failliet is. De benadeelde kan zich rechtstreeks tot de werkgever wenden; de curator hoeft niet bij de vordering betrokken te worden.</t>
        </is>
      </c>
      <c r="G57" s="4" t="inlineStr">
        <is>
          <t>Curator oefent zijn taak uit onder toezicht van de rechter-commissaris. Omdat hij via zijn BV gedetacheerd is bij de advocaten B.V. is deze noch uit art. 6:170 BW, noch art. 6:171 BW aansprakelijk.</t>
        </is>
      </c>
      <c r="H57" s="4" t="inlineStr">
        <is>
          <t>HR Van Bentum/Bos q.q. (Coöperatie Beatrix/Procall), beknopte rechtsregel; syllabus module 5 (Ondergeschikten), p. 14. Let op: arrest gaat over de curator, niet over faillissement van de ondergeschikte.</t>
        </is>
      </c>
      <c r="I57" s="4" t="inlineStr">
        <is>
          <t>HR 10 januari 2003, ECLI:NL:HR:2003:AF0692, NJ 2003/196 (Van Bentum/Bos q.q.)</t>
        </is>
      </c>
      <c r="J57" s="4" t="inlineStr"/>
      <c r="K57" s="4" t="inlineStr"/>
    </row>
    <row r="58" ht="96" customHeight="1">
      <c r="A58" s="4" t="inlineStr">
        <is>
          <t>card_057</t>
        </is>
      </c>
      <c r="B58" s="4" t="inlineStr">
        <is>
          <t>05</t>
        </is>
      </c>
      <c r="C58" s="4" t="inlineStr">
        <is>
          <t>Groot Kievitsdal (HR 9 november 2007)</t>
        </is>
      </c>
      <c r="D58" s="4" t="inlineStr">
        <is>
          <t>arrest</t>
        </is>
      </c>
      <c r="E58" s="4" t="inlineStr">
        <is>
          <t>Hoe wordt de 'ondergeschiktheid' in art. 6:170 BW beoordeeld bij horeca- en dienstverleningscontexten?</t>
        </is>
      </c>
      <c r="F58" s="4" t="inlineStr">
        <is>
          <t>De ondergeschiktheid vereist feitelijke gezagsverhouding; een arbeidsovereenkomst is niet strikt nodig. Bij Groot Kievitsdal werd de beveiliger als ondergeschikt aangemerkt omdat de horecaonderneming aanwijzingen kon geven, ook al was hij in dienst van een beveiligingsbedrijf.</t>
        </is>
      </c>
      <c r="G58" s="4" t="inlineStr">
        <is>
          <t>Het hof heeft zijn oordeel gebaseerd op de omstandigheden dat het om een door de werkgever georganiseerd, gefaciliteerd en betaald feest (bedrijfsuitje) ging, waarbij de werknemers louter aanwezig waren omdat zij werknemers waren [...], dat de werknemers [...] als een zekere eenheid naar buiten traden en door de eigenaren/exploitanten van Groot Kievitsdal ook als zodanig mochten worden beschouwd, [...] en dat Van Otterloo [...] door zijn gedrag juist de kans op schade heeft vergroot. Aldus heeft het hof op goede gronden geoordeeld dat de voor toepassing van art. 6:170 lid 1 noodzakelijke functionele samenhang bestond.</t>
        </is>
      </c>
      <c r="H58" s="4" t="inlineStr">
        <is>
          <t>HR Groot Kievitsdal; syllabus module 5 (Ondergeschikten), p. 19-20.</t>
        </is>
      </c>
      <c r="I58" s="4" t="inlineStr">
        <is>
          <t>HR 9 november 2007, ECLI:NL:HR:2007:BA7557, NJ 2007/658 (Groot Kievitsdal)</t>
        </is>
      </c>
      <c r="J58" s="4" t="inlineStr"/>
      <c r="K58" s="4" t="inlineStr"/>
    </row>
    <row r="59" ht="96" customHeight="1">
      <c r="A59" s="4" t="inlineStr">
        <is>
          <t>card_058</t>
        </is>
      </c>
      <c r="B59" s="4" t="inlineStr">
        <is>
          <t>05</t>
        </is>
      </c>
      <c r="C59" s="4" t="inlineStr">
        <is>
          <t>Nationale-Nederlanden/'t Witte Paerdje (HR 10 oktober 2003)</t>
        </is>
      </c>
      <c r="D59" s="4" t="inlineStr">
        <is>
          <t>arrest</t>
        </is>
      </c>
      <c r="E59" s="4" t="inlineStr">
        <is>
          <t>Is een hotelexploitant onder art. 6:76 BW aansprakelijk voor brand veroorzaakt door een door hem ingeschakelde schoonmaker?</t>
        </is>
      </c>
      <c r="F59" s="4" t="inlineStr">
        <is>
          <t>Ja. Een schoonmaker die werkzaamheden verricht ter uitvoering van de verbintenis van de hotelier jegens gasten (veilige accommodatie) kwalificeert als hulppersoon in de zin van art. 6:76 BW. De hotelier is voor diens brandveroorzakend handelen aansprakelijk.</t>
        </is>
      </c>
      <c r="G59" s="4" t="inlineStr">
        <is>
          <t>Voor toerekening van gedragingen van hulppersonen moet eerst komen vast te staan dat de aangesproken partij schuldenaar van de verbintenis was, die niet zou zijn nagekomen.</t>
        </is>
      </c>
      <c r="H59" s="4" t="inlineStr">
        <is>
          <t>HR Nationale-Nederlanden/'t Witte Paerdje, beknopte rechtsregel; syllabus module 5 (Ondergeschikten), p. 13.</t>
        </is>
      </c>
      <c r="I59" s="4" t="inlineStr">
        <is>
          <t>HR 10 oktober 2003, ECLI:NL:HR:2003:AI0828, NJ 2005/89 (Nationale-Nederlanden/'t Witte Paerdje)</t>
        </is>
      </c>
      <c r="J59" s="4" t="inlineStr"/>
      <c r="K59" s="4" t="inlineStr"/>
    </row>
    <row r="60" ht="96" customHeight="1">
      <c r="A60" s="4" t="inlineStr">
        <is>
          <t>card_059</t>
        </is>
      </c>
      <c r="B60" s="4" t="inlineStr">
        <is>
          <t>05</t>
        </is>
      </c>
      <c r="C60" s="4" t="inlineStr">
        <is>
          <t>Syllabus De Vries, inleiding</t>
        </is>
      </c>
      <c r="D60" s="4" t="inlineStr">
        <is>
          <t>leerstuk</t>
        </is>
      </c>
      <c r="E60" s="4" t="inlineStr">
        <is>
          <t>Wat is het verschil in grondslag tussen art. 6:76 BW en art. 6:170 BW?</t>
        </is>
      </c>
      <c r="F60" s="4" t="inlineStr">
        <is>
          <t>Art. 6:76 BW regelt contractuele hulppersoonsaansprakelijkheid: de schuldenaar is jegens zijn schuldeiser aansprakelijk voor gedragingen van de hulppersoon als waren het eigen gedragingen. Art. 6:170 BW regelt buitencontractuele werkgeversaansprakelijkheid: de werkgever is jegens derden aansprakelijk voor fouten van ondergeschikten, mits functioneel verband en zeggenschap.</t>
        </is>
      </c>
      <c r="G60" s="4" t="inlineStr">
        <is>
          <t>Art. 6:76 BW: schuldenaar tegenover wederpartij — contractueel. Art. 6:170 BW: werkgever tegenover derde — buitencontractueel, maar schuldenaar en wederpartij kunnen samenvallen (bv. arbeidsongeval van derde).</t>
        </is>
      </c>
      <c r="H60" s="4" t="inlineStr">
        <is>
          <t>Belangrijk om de juiste grondslag te kiezen: contractuele verhouding leidt primair naar 6:76, buitencontractuele schade via 6:170 of 6:171.</t>
        </is>
      </c>
      <c r="I60" s="4" t="inlineStr">
        <is>
          <t>Art. 6:76 en 6:170 BW; Asser/Hartkamp &amp; Sieburgh 6-IV, hoofdstuk 6</t>
        </is>
      </c>
      <c r="J60" s="4" t="inlineStr"/>
      <c r="K60" s="4" t="inlineStr"/>
    </row>
    <row r="61" ht="96" customHeight="1">
      <c r="A61" s="5" t="inlineStr">
        <is>
          <t>card_060</t>
        </is>
      </c>
      <c r="B61" s="5" t="inlineStr">
        <is>
          <t>04</t>
        </is>
      </c>
      <c r="C61" s="5" t="inlineStr">
        <is>
          <t>Art. 7:658 lid 1 BW</t>
        </is>
      </c>
      <c r="D61" s="5" t="inlineStr">
        <is>
          <t>wetsartikel</t>
        </is>
      </c>
      <c r="E61" s="5" t="inlineStr">
        <is>
          <t>Wat houdt de zorgplicht van de werkgever ex art. 7:658 lid 1 BW in?</t>
        </is>
      </c>
      <c r="F61" s="5" t="inlineStr">
        <is>
          <t>De werkgever moet de lokalen, werktuigen en gereedschappen waarin of waarmee de werknemer arbeid verricht op zodanige wijze inrichten en onderhouden, en zodanige maatregelen treffen en aanwijzingen verstrekken, als redelijkerwijs nodig is om te voorkomen dat de werknemer in de uitoefening van zijn werkzaamheden schade lijdt.</t>
        </is>
      </c>
      <c r="G61" s="5" t="inlineStr">
        <is>
          <t>De werkgever is verplicht de lokalen, werktuigen en gereedschappen waarin of waarmee hij de arbeid doet verrichten, op zodanige wijze in te richten en te onderhouden alsmede voor het verrichten van de arbeid zodanige maatregelen te treffen en aanwijzingen te verstrekken als redelijkerwijs nodig is om te voorkomen dat de werknemer in de uitoefening van zijn werkzaamheden schade lijdt.</t>
        </is>
      </c>
      <c r="H61" s="5" t="inlineStr">
        <is>
          <t>Letterlijke tekst art. 7:658 lid 1 BW; basisnorm voor werkgeversaansprakelijkheid.</t>
        </is>
      </c>
      <c r="I61" s="5" t="inlineStr">
        <is>
          <t>Art. 7:658 lid 1 BW</t>
        </is>
      </c>
      <c r="J61" s="5" t="inlineStr"/>
      <c r="K61" s="5" t="inlineStr"/>
    </row>
    <row r="62" ht="96" customHeight="1">
      <c r="A62" s="5" t="inlineStr">
        <is>
          <t>card_061</t>
        </is>
      </c>
      <c r="B62" s="5" t="inlineStr">
        <is>
          <t>04</t>
        </is>
      </c>
      <c r="C62" s="5" t="inlineStr">
        <is>
          <t>Art. 7:658 lid 2 BW</t>
        </is>
      </c>
      <c r="D62" s="5" t="inlineStr">
        <is>
          <t>wetsartikel</t>
        </is>
      </c>
      <c r="E62" s="5" t="inlineStr">
        <is>
          <t>Hoe is de stelplicht en bewijslast verdeeld in art. 7:658 lid 2 BW?</t>
        </is>
      </c>
      <c r="F62" s="5" t="inlineStr">
        <is>
          <t>De werknemer moet stellen en bij betwisting bewijzen dat hij in de uitoefening van zijn werkzaamheden schade heeft geleden. De werkgever is aansprakelijk, tenzij hij aantoont dat hij aan zijn zorgplicht heeft voldaan of dat de schade in belangrijke mate het gevolg is van opzet of bewuste roekeloosheid van de werknemer.</t>
        </is>
      </c>
      <c r="G62" s="5" t="inlineStr">
        <is>
          <t>De werkgever is jegens de werknemer aansprakelijk voor de schade die de werknemer in de uitoefening van zijn werkzaamheden lijdt, tenzij hij aantoont dat hij de in lid 1 genoemde verplichtingen is nagekomen of dat de schade in belangrijke mate het gevolg is van opzet of bewuste roekeloosheid van de werknemer.</t>
        </is>
      </c>
      <c r="H62" s="5" t="inlineStr">
        <is>
          <t>Letterlijke tekst art. 7:658 lid 2 BW. De 'tenzij-formule' verlegt de bewijslast naar de werkgever zodra het functioneel verband vaststaat.</t>
        </is>
      </c>
      <c r="I62" s="5" t="inlineStr">
        <is>
          <t>Art. 7:658 lid 2 BW</t>
        </is>
      </c>
      <c r="J62" s="5" t="inlineStr"/>
      <c r="K62" s="5" t="inlineStr"/>
    </row>
    <row r="63" ht="96" customHeight="1">
      <c r="A63" s="5" t="inlineStr">
        <is>
          <t>card_062</t>
        </is>
      </c>
      <c r="B63" s="5" t="inlineStr">
        <is>
          <t>04</t>
        </is>
      </c>
      <c r="C63" s="5" t="inlineStr">
        <is>
          <t>Art. 7:658 lid 4 BW</t>
        </is>
      </c>
      <c r="D63" s="5" t="inlineStr">
        <is>
          <t>wetsartikel</t>
        </is>
      </c>
      <c r="E63" s="5" t="inlineStr">
        <is>
          <t>Op wie is de werkgeversaansprakelijkheid ex art. 7:658 BW ook van toepassing naast de eigen werknemer?</t>
        </is>
      </c>
      <c r="F63" s="5" t="inlineStr">
        <is>
          <t>Op personen die in de uitoefening van beroep of bedrijf van een ander arbeid verrichten zonder dienstbetrekking (ingeleend personeel, zzp'ers in bepaalde omstandigheden), voor zover de opdrachtgever zeggenschap heeft over de arbeidsomstandigheden.</t>
        </is>
      </c>
      <c r="G63" s="5" t="inlineStr">
        <is>
          <t>Hij die in de uitoefening van zijn beroep of bedrijf arbeid laat verrichten door een persoon met wie hij geen arbeidsovereenkomst heeft, is overeenkomstig de leden 1 tot en met 3 aansprakelijk voor de schade die deze persoon in de uitoefening van zijn werkzaamheden lijdt.</t>
        </is>
      </c>
      <c r="H63" s="5" t="inlineStr">
        <is>
          <t>Letterlijke tekst art. 7:658 lid 4 BW. Uitbreiding van de zorgplicht tot gelijksoortige arbeidsrelaties.</t>
        </is>
      </c>
      <c r="I63" s="5" t="inlineStr">
        <is>
          <t>Art. 7:658 lid 4 BW</t>
        </is>
      </c>
      <c r="J63" s="5" t="inlineStr"/>
      <c r="K63" s="5" t="inlineStr"/>
    </row>
    <row r="64" ht="96" customHeight="1">
      <c r="A64" s="5" t="inlineStr">
        <is>
          <t>card_063</t>
        </is>
      </c>
      <c r="B64" s="5" t="inlineStr">
        <is>
          <t>04</t>
        </is>
      </c>
      <c r="C64" s="5" t="inlineStr">
        <is>
          <t>Art. 7:611 BW</t>
        </is>
      </c>
      <c r="D64" s="5" t="inlineStr">
        <is>
          <t>wetsartikel</t>
        </is>
      </c>
      <c r="E64" s="5" t="inlineStr">
        <is>
          <t>Wanneer is art. 7:611 BW een aanvullende grondslag voor werkgeversaansprakelijkheid naast art. 7:658 BW?</t>
        </is>
      </c>
      <c r="F64" s="5" t="inlineStr">
        <is>
          <t>Art. 7:611 BW (goed werkgeverschap) kan een zelfstandige grondslag zijn voor aansprakelijkheid bij verkeersongevallen in verband met het werk (woon-werkverkeer valt er niet zonder meer onder) en verplicht de werkgever tot het afsluiten van een behoorlijke verzekering voor werknemers die in de uitoefening van hun werkzaamheden als bestuurder van een motorvoertuig betrokken raken bij een verkeersongeval.</t>
        </is>
      </c>
      <c r="G64" s="5" t="inlineStr">
        <is>
          <t>De werkgever en de werknemer zijn verplicht zich als een goed werkgever en een goed werknemer te gedragen.</t>
        </is>
      </c>
      <c r="H64" s="5" t="inlineStr">
        <is>
          <t>Art. 7:611 BW vormt een aanvulling op 7:658 BW voor situaties waarin de zeggenschap van de werkgever over de werkomstandigheden beperkt is, met name bij verkeer.</t>
        </is>
      </c>
      <c r="I64" s="5" t="inlineStr">
        <is>
          <t>Art. 7:611 BW</t>
        </is>
      </c>
      <c r="J64" s="5" t="inlineStr"/>
      <c r="K64" s="5" t="inlineStr"/>
    </row>
    <row r="65" ht="96" customHeight="1">
      <c r="A65" s="5" t="inlineStr">
        <is>
          <t>card_064</t>
        </is>
      </c>
      <c r="B65" s="5" t="inlineStr">
        <is>
          <t>04</t>
        </is>
      </c>
      <c r="C65" s="5" t="inlineStr">
        <is>
          <t>HR Chroom-6 (2021)</t>
        </is>
      </c>
      <c r="D65" s="5" t="inlineStr">
        <is>
          <t>arrest</t>
        </is>
      </c>
      <c r="E65" s="5" t="inlineStr">
        <is>
          <t>Wat is voldoende voor het aannemen van c.s.q.n.-verband tussen blootstelling op het werk en een beroepsziekte?</t>
        </is>
      </c>
      <c r="F65" s="5" t="inlineStr">
        <is>
          <t>Voor het condicio sine qua non-verband is de (enkele) mogelijkheid van schade door de blootstelling voldoende; de benadeelde hoeft niet aan te tonen dat de blootstelling de ziekte ook daadwerkelijk heeft veroorzaakt in de zin van art. 6:98 BW. Dat laatste komt pas aan de orde bij de omvang van de schade.</t>
        </is>
      </c>
      <c r="G65" s="5" t="inlineStr">
        <is>
          <t>Voor het c.s.q.n-verband is de (enkele) mogelijkheid van schade voldoende. Aldus staat vast dat Defensie als werkgever jegens [verweerders] aansprakelijk is voor de schade ten gevolge van de blootstelling aan chroom-6.</t>
        </is>
      </c>
      <c r="H65" s="5" t="inlineStr">
        <is>
          <t>Hof Den Bosch 10 maart 2020 (ECLI:NL:GHSHE:2020:871), rov. 7.1.6–7.1.7, in stand gelaten door HR 3 december 2021 met een art. 81 RO-verwerping. Passage letterlijk overgenomen in syllabus module 04 (Klaassen), p. 37–40.</t>
        </is>
      </c>
      <c r="I65" s="5" t="inlineStr">
        <is>
          <t>HR 3 december 2021, ECLI:NL:HR:2021:1806 (Chroom-6)</t>
        </is>
      </c>
      <c r="J65" s="5" t="inlineStr"/>
      <c r="K65" s="5" t="inlineStr"/>
    </row>
    <row r="66" ht="96" customHeight="1">
      <c r="A66" s="5" t="inlineStr">
        <is>
          <t>card_065</t>
        </is>
      </c>
      <c r="B66" s="5" t="inlineStr">
        <is>
          <t>04</t>
        </is>
      </c>
      <c r="C66" s="5" t="inlineStr">
        <is>
          <t>Hof 's-Hertogenbosch Nedtrain (2024)</t>
        </is>
      </c>
      <c r="D66" s="5" t="inlineStr">
        <is>
          <t>arrest</t>
        </is>
      </c>
      <c r="E66" s="5" t="inlineStr">
        <is>
          <t>Welke eisen stelt het hof aan de stelplicht van werknemers die gezamenlijk de werkgever aansprakelijk stellen voor een beroepsziekte?</t>
        </is>
      </c>
      <c r="F66" s="5" t="inlineStr">
        <is>
          <t>Elke werknemer moet individueel stellen in welke periode hij heeft gewerkt, welke specifieke werkzaamheden hij heeft verricht, aan welke gezondheidsklachten hij lijdt en dit met medische stukken onderbouwen. Een collectieve opsomming van werkzaamheden en klachten volstaat niet tegenover gemotiveerd verweer.</t>
        </is>
      </c>
      <c r="G66" s="5" t="inlineStr">
        <is>
          <t>Gelet op het gemotiveerde verweer van NedTrain had het op hun weg gelegen dat elk van de geïntimeerden voor zich zou stellen en onderbouwen in welke periode zij werkzaam zijn geweest bij het tROM-project, welke specifieke werkzaamheden zij daar hebben verricht en aan welke gezondheidsklachten zij lijden. Ten aanzien van hun gezondheidsklachten zouden zij dat met medische stukken hebben moeten onderbouwen.</t>
        </is>
      </c>
      <c r="H66" s="5" t="inlineStr">
        <is>
          <t>Hof wees vorderingen van 30 eisers integraal af wegens tekortschieten in stelplicht. Noot Chr.H. van Dijk in JA 2024/93. Syllabus module 04, p. 42.</t>
        </is>
      </c>
      <c r="I66" s="5" t="inlineStr">
        <is>
          <t>Hof 's-Hertogenbosch 12 maart 2024, ECLI:NL:GHSHE:2024:754 (Nedtrain)</t>
        </is>
      </c>
      <c r="J66" s="5" t="inlineStr"/>
      <c r="K66" s="5" t="inlineStr"/>
    </row>
    <row r="67" ht="96" customHeight="1">
      <c r="A67" s="5" t="inlineStr">
        <is>
          <t>card_066</t>
        </is>
      </c>
      <c r="B67" s="5" t="inlineStr">
        <is>
          <t>04</t>
        </is>
      </c>
      <c r="C67" s="5" t="inlineStr">
        <is>
          <t>Klaassen (Spier-bundel 2022)</t>
        </is>
      </c>
      <c r="D67" s="5" t="inlineStr">
        <is>
          <t>rechtsleer</t>
        </is>
      </c>
      <c r="E67" s="5" t="inlineStr">
        <is>
          <t>Kan voor een 'typische beroepsziekte' worden aangenomen dat reeds voldaan is aan het vereiste van functioneel verband, zodat de werknemer daarvan is verlicht?</t>
        </is>
      </c>
      <c r="F67" s="5" t="inlineStr">
        <is>
          <t>Nee. Volgens Klaassen (met Spier) sluit een dergelijke benadering niet aan bij de rechtspraak van de Hoge Raad en is deze niet wenselijk. Uit de tekst van art. 7:658 lid 1 BW volgt dat er sprake moet zijn van schade die is opgelopen bij de aansprakelijk gestelde werkgever; de werknemer moet dus altijd stellen en zo nodig bewijzen dat hij werkzaamheden heeft verricht waardoor zijn schade in de uitoefening van de werkzaamheden is ontstaan.</t>
        </is>
      </c>
      <c r="G67" s="5" t="inlineStr">
        <is>
          <t>Met Spier meen ik dat dit niet juist is: deze benadering sluit niet aan bij de rechtspraak van de Hoge Raad en is ook niet wenselijk. (...) Uit de tekst van art. 7:658 lid 1 BW volgt dat er sprake moet zijn van schade die is opgelopen bij de aansprakelijk gestelde werkgever.</t>
        </is>
      </c>
      <c r="H67" s="5" t="inlineStr">
        <is>
          <t>Klaassen, 'Enkele opmerkingen en keuzes wat betreft het bewijs van het functioneel verband bij beroepsziekten en de rol van A-G Spier', in De Spier-bundel, Deventer: Wolters Kluwer 2022, p. 187–203, i.h.b. p. 188 (syllabus module 04, p. 5–6).</t>
        </is>
      </c>
      <c r="I67" s="5" t="inlineStr">
        <is>
          <t>C.J.M. Klaassen, De Spier-bundel, 2022, p. 187–203</t>
        </is>
      </c>
      <c r="J67" s="5" t="inlineStr"/>
      <c r="K67" s="5" t="inlineStr"/>
    </row>
    <row r="68" ht="96" customHeight="1">
      <c r="A68" s="5" t="inlineStr">
        <is>
          <t>card_067</t>
        </is>
      </c>
      <c r="B68" s="5" t="inlineStr">
        <is>
          <t>04</t>
        </is>
      </c>
      <c r="C68" s="5" t="inlineStr">
        <is>
          <t>HR Lansink/Ritsma (2013)</t>
        </is>
      </c>
      <c r="D68" s="5" t="inlineStr">
        <is>
          <t>arrest</t>
        </is>
      </c>
      <c r="E68" s="5" t="inlineStr">
        <is>
          <t>Hoe wordt aansprakelijkheid verdeeld bij onzekerheid over het aandeel van werkomstandigheden en andere factoren in het ontstaan van een beroepsziekte?</t>
        </is>
      </c>
      <c r="F68" s="5" t="inlineStr">
        <is>
          <t>Door proportionele aansprakelijkheid: de werkgever is aansprakelijk naar evenredigheid van de mate waarin de schade aan zijn normschending kan worden toegerekend. Vereist is wel dat (i) de werknemer aannemelijk maakt dat hij is blootgesteld aan gevaarlijke stoffen, (ii) de ziekte door die blootstelling kan zijn veroorzaakt, en (iii) de kans dat dit het geval is niet zeer klein of zeer groot is. Bij zeer kleine kans: volledige afwijzing; bij zeer grote kans: volledige aansprakelijkheid.</t>
        </is>
      </c>
      <c r="G68" s="5" t="inlineStr">
        <is>
          <t>Let op: syllabus module 04 neemt dit arrest niet letterlijk op, maar Klaassen verwijst er herhaaldelijk naar als leidend precedent. De ratio is dat proportionele aansprakelijkheid het evenwicht tussen rechtsbescherming in het individuele geval en macro-economische effecten balanceert.</t>
        </is>
      </c>
      <c r="H68" s="5" t="inlineStr">
        <is>
          <t>Genoemd in Klaassen-essay, Spier-bundel p. 187 (syllabus module 04, p. 5, vtn. 2 en 3). Het 'hoofdpijn-dossier' van Spier volgens Klaassen.</t>
        </is>
      </c>
      <c r="I68" s="5" t="inlineStr">
        <is>
          <t>HR 7 juni 2013, ECLI:NL:HR:2013:BZ1721, NJ 2014/99, m.nt. T. Hartlief (Lansink/Ritsma)</t>
        </is>
      </c>
      <c r="J68" s="5" t="inlineStr"/>
      <c r="K68" s="5" t="inlineStr"/>
    </row>
    <row r="69" ht="96" customHeight="1">
      <c r="A69" s="5" t="inlineStr">
        <is>
          <t>card_068</t>
        </is>
      </c>
      <c r="B69" s="5" t="inlineStr">
        <is>
          <t>04</t>
        </is>
      </c>
      <c r="C69" s="5" t="inlineStr">
        <is>
          <t>HR SVB/Van de Wege (2013)</t>
        </is>
      </c>
      <c r="D69" s="5" t="inlineStr">
        <is>
          <t>arrest</t>
        </is>
      </c>
      <c r="E69" s="5" t="inlineStr">
        <is>
          <t>Welke eisen stelt de HR aan het bewijs van causaal verband bij RSI-achtige klachten ex art. 7:658 BW?</t>
        </is>
      </c>
      <c r="F69" s="5" t="inlineStr">
        <is>
          <t>De werknemer moet aannemelijk maken dat hij is blootgesteld aan voor de gezondheid gevaarlijke omstandigheden en dat zijn klachten door die blootstelling kunnen zijn veroorzaakt. Alleen dan komt de arbeidsrechtelijke omkeringsregel in beeld en verschuift de bewijslast naar de werkgever om aan te tonen dat hij aan zijn zorgplicht heeft voldaan.</t>
        </is>
      </c>
      <c r="G69" s="5" t="inlineStr">
        <is>
          <t>Let op: zoals Lansink/Ritsma ook niet letterlijk in de syllabus opgenomen, maar centraal in Klaassens betoog. SVB/Van de Wege vormt samen met Lansink/Ritsma het raamwerk voor bewijs functioneel verband bij beroepsziekten.</t>
        </is>
      </c>
      <c r="H69" s="5" t="inlineStr">
        <is>
          <t>Genoemd in Klaassen-essay, Spier-bundel p. 187 vtn. 2 (syllabus module 04, p. 5).</t>
        </is>
      </c>
      <c r="I69" s="5" t="inlineStr">
        <is>
          <t>HR 7 juni 2013, ECLI:NL:HR:2013:BZ1717, NJ 2014/98 (SVB/Van de Wege)</t>
        </is>
      </c>
      <c r="J69" s="5" t="inlineStr"/>
      <c r="K69" s="5" t="inlineStr"/>
    </row>
    <row r="70" ht="96" customHeight="1">
      <c r="A70" s="5" t="inlineStr">
        <is>
          <t>card_069</t>
        </is>
      </c>
      <c r="B70" s="5" t="inlineStr">
        <is>
          <t>04</t>
        </is>
      </c>
      <c r="C70" s="5" t="inlineStr">
        <is>
          <t>HR Landskroon/BAM (2009)</t>
        </is>
      </c>
      <c r="D70" s="5" t="inlineStr">
        <is>
          <t>arrest</t>
        </is>
      </c>
      <c r="E70" s="5" t="inlineStr">
        <is>
          <t>Wanneer kan een bewijsvermoeden worden aangenomen dat de ziekte van de werknemer verband houdt met zijn werkomstandigheden?</t>
        </is>
      </c>
      <c r="F70" s="5" t="inlineStr">
        <is>
          <t>Wanneer een werknemer is blootgesteld aan stoffen waarvan vaststaat of zeer aannemelijk is dat deze de betreffende ziekte kunnen veroorzaken (bijvoorbeeld asbest bij mesothelioom), en er overigens geen indicaties zijn voor andere oorzaken, kan de rechter onder omstandigheden een bewijsvermoeden ten gunste van de werknemer aannemen.</t>
        </is>
      </c>
      <c r="G70" s="5" t="inlineStr">
        <is>
          <t>Let op: niet letterlijk opgenomen in syllabus. Landskroon/BAM wordt door Klaassen opgevoerd als voorbeeld van een bewijsvermoeden als alternatief voor de omkeringsregel.</t>
        </is>
      </c>
      <c r="H70" s="5" t="inlineStr">
        <is>
          <t>Genoemd in Klaassen-essay, Spier-bundel p. 188 vtn. 6 (syllabus module 04, p. 6).</t>
        </is>
      </c>
      <c r="I70" s="5" t="inlineStr">
        <is>
          <t>HR 9 januari 2009, ECLI:NL:HR:2009:BF8875, NJ 2011/252, m.nt. T.F.E. Tjong Tjin Tai (Landskroon/BAM)</t>
        </is>
      </c>
      <c r="J70" s="5" t="inlineStr"/>
      <c r="K70" s="5" t="inlineStr"/>
    </row>
    <row r="71" ht="96" customHeight="1">
      <c r="A71" s="5" t="inlineStr">
        <is>
          <t>card_070</t>
        </is>
      </c>
      <c r="B71" s="5" t="inlineStr">
        <is>
          <t>04</t>
        </is>
      </c>
      <c r="C71" s="5" t="inlineStr">
        <is>
          <t>Arbeidsrechtelijke omkeringsregel</t>
        </is>
      </c>
      <c r="D71" s="5" t="inlineStr">
        <is>
          <t>rechtsleer</t>
        </is>
      </c>
      <c r="E71" s="5" t="inlineStr">
        <is>
          <t>Wat is de arbeidsrechtelijke omkeringsregel en wanneer komt deze in beeld?</t>
        </is>
      </c>
      <c r="F71" s="5" t="inlineStr">
        <is>
          <t>Als de werknemer aannemelijk maakt dat (i) hij is blootgesteld aan voor de gezondheid gevaarlijke omstandigheden en (ii) zijn klachten door die blootstelling kunnen zijn veroorzaakt, moet de werkgever aantonen dat hij zijn zorgplicht is nagekomen. De omkeringsregel doorbreekt dus niet de stelplicht van de werknemer ten aanzien van het functioneel verband, maar verlegt de bewijslast van de zorgplichtschending.</t>
        </is>
      </c>
      <c r="G71" s="5" t="inlineStr">
        <is>
          <t>Let op: geen rechtstreeks citaat uit de syllabus, maar centraal begrip in de bespreking door Klaassen. De regel is gestold in o.m. Unilever/Dikmans, Weststrate/De Schelde, SVB/Van de Wege en Lansink/Ritsma.</t>
        </is>
      </c>
      <c r="H71" s="5" t="inlineStr">
        <is>
          <t>Vaste HR-rechtspraak, uitvoerig besproken door Klaassen in syllabus p. 5–20. Komt terug bij elke beroepsziekte-casus.</t>
        </is>
      </c>
      <c r="I71" s="5" t="inlineStr">
        <is>
          <t>Vaste HR-rechtspraak, zie o.a. HR 17 november 2000, NJ 2001/596 (Unilever/Dikmans)</t>
        </is>
      </c>
      <c r="J71" s="5" t="inlineStr"/>
      <c r="K71" s="5" t="inlineStr"/>
    </row>
    <row r="72" ht="96" customHeight="1">
      <c r="A72" s="5" t="inlineStr">
        <is>
          <t>card_071</t>
        </is>
      </c>
      <c r="B72" s="5" t="inlineStr">
        <is>
          <t>04</t>
        </is>
      </c>
      <c r="C72" s="5" t="inlineStr">
        <is>
          <t>Conclusie A-G De Bock PHR:2021:21</t>
        </is>
      </c>
      <c r="D72" s="5" t="inlineStr">
        <is>
          <t>arrest</t>
        </is>
      </c>
      <c r="E72" s="5" t="inlineStr">
        <is>
          <t>Hoe wordt aansprakelijkheid voor psychische schade van de werknemer beoordeeld onder art. 7:658 BW?</t>
        </is>
      </c>
      <c r="F72" s="5" t="inlineStr">
        <is>
          <t>Voor psychische schade geldt geen afwijkende maatstaf: de werknemer moet stellen en zo nodig bewijzen dat hij in de uitoefening van zijn werkzaamheden schade heeft geleden. Vereist is wel dat een objectieve verbinding tussen werkomstandigheden en psychische schade aannemelijk wordt gemaakt, omdat psychische aandoeningen vaak meerdere (ook buitenwerkse) oorzaken hebben.</t>
        </is>
      </c>
      <c r="G72" s="5" t="inlineStr">
        <is>
          <t>Let op: dit is de conclusie van A-G die in syllabus module 04 is opgenomen (p. 22–36). De letterlijke passage hangt af van het precieze onderdeel waarnaar wordt verwezen; raadpleeg syllabus voor specifieke rov.</t>
        </is>
      </c>
      <c r="H72" s="5" t="inlineStr">
        <is>
          <t>Conclusie A-G 8 januari 2021, ECLI:NL:PHR:2021:21, opgenomen in syllabus module 04 onder 'Psychische schade'.</t>
        </is>
      </c>
      <c r="I72" s="5" t="inlineStr">
        <is>
          <t>Conclusie A-G 8 januari 2021, ECLI:NL:PHR:2021:21</t>
        </is>
      </c>
      <c r="J72" s="5" t="inlineStr"/>
      <c r="K72" s="5" t="inlineStr"/>
    </row>
    <row r="73" ht="96" customHeight="1">
      <c r="A73" s="5" t="inlineStr">
        <is>
          <t>card_072</t>
        </is>
      </c>
      <c r="B73" s="5" t="inlineStr">
        <is>
          <t>04</t>
        </is>
      </c>
      <c r="C73" s="5" t="inlineStr">
        <is>
          <t>Art. 7:611 BW bij verkeersongevallen</t>
        </is>
      </c>
      <c r="D73" s="5" t="inlineStr">
        <is>
          <t>rechtsleer</t>
        </is>
      </c>
      <c r="E73" s="5" t="inlineStr">
        <is>
          <t>Waarom biedt art. 7:658 BW geen grondslag voor aansprakelijkheid van de werkgever bij verkeersongevallen van werknemers met eigen of bedrijfsvoertuigen?</t>
        </is>
      </c>
      <c r="F73" s="5" t="inlineStr">
        <is>
          <t>Omdat de werkgever geen zeggenschap heeft over de openbare weg waarop het ongeval plaatsvindt, ontbreekt het hem aan de feitelijke mogelijkheid om zijn zorgplicht uit te oefenen. Op grond van art. 7:611 BW rust op hem wel de verplichting een behoorlijke verzekering af te sluiten voor schade die werknemers als bestuurder in de uitoefening van de werkzaamheden oplopen.</t>
        </is>
      </c>
      <c r="G73" s="5" t="inlineStr">
        <is>
          <t>Let op: niet letterlijk uit syllabus maar vaste HR-lijn sinds HR Bruinsma/Schuitemaker en HR 12 december 2008 (Maatzorg/Van der Graaf).</t>
        </is>
      </c>
      <c r="H73" s="5" t="inlineStr">
        <is>
          <t>Onderscheid tussen 7:658 BW (zorgplicht) en 7:611 BW (verzekeringsplicht) is examenstof bij Klaassen: beperking van 7:658 BW verklaart de noodzaak van 7:611 BW.</t>
        </is>
      </c>
      <c r="I73" s="5" t="inlineStr">
        <is>
          <t>HR 1 februari 2008, ECLI:NL:HR:2008:BB6175, NJ 2009/331 (Maatzorg/Van der Graaf)</t>
        </is>
      </c>
      <c r="J73" s="5" t="inlineStr"/>
      <c r="K73" s="5" t="inlineStr"/>
    </row>
    <row r="74" ht="96" customHeight="1">
      <c r="A74" s="5" t="inlineStr">
        <is>
          <t>card_073</t>
        </is>
      </c>
      <c r="B74" s="5" t="inlineStr">
        <is>
          <t>04</t>
        </is>
      </c>
      <c r="C74" s="5" t="inlineStr">
        <is>
          <t>Huiswerkcasus Appels &amp; Meer</t>
        </is>
      </c>
      <c r="D74" s="5" t="inlineStr">
        <is>
          <t>casus</t>
        </is>
      </c>
      <c r="E74" s="5" t="inlineStr">
        <is>
          <t>Kan een werkgever zich onder art. 7:658 BW disculperen met het verweer dat de door hem gebruikte bestrijdingsmiddelen op het moment van gebruik waren toegestaan en dat hij niet op de hoogte was van gezondheidsrisico's?</t>
        </is>
      </c>
      <c r="F74" s="5" t="inlineStr">
        <is>
          <t>Nee, niet zonder meer. Het enkele feit dat middelen wettelijk waren toegestaan ontneemt niet de zelfstandige zorgplicht van de werkgever om zijn werknemers te beschermen tegen gezondheidsrisico's die hij bij voortschrijdend wetenschappelijk inzicht kende of had moeten kennen. De omvang van de onderzoeks- en kennisplicht hangt af van de aard van het bedrijf, de blootstelling en de beschikbare kennis in de betreffende periode.</t>
        </is>
      </c>
      <c r="G74" s="5" t="inlineStr">
        <is>
          <t>Arno stelt pas door de recente berichtgeving in de media op de hoogte te zijn van de omstandigheid dat er een verband wordt gelegd tussen het werken met bestrijdingsmiddelen, zoals deze ook in zijn bedrijf zijn gebruikt, en de ziekte van Parkinson. Hij wijst echter iedere aansprakelijkheid af. (...) i) mij valt niets te verwijten want de bestrijdingsmiddelen waarmee in mijn bedrijf zijn gewerkt zijn toegestaan; ii) ik was niet op de hoogte en hoefde ook niet op de hoogte te zijn van eventuele schadelijke gevolgen.</t>
        </is>
      </c>
      <c r="H74" s="5" t="inlineStr">
        <is>
          <t>Huiswerkcasus Grotius O&amp;A 25 maart 2026: Appels &amp; Meer BV / Bob met ziekte van Parkinson na langdurige blootstelling aan pesticiden. Te bespreken: zelfstandige onderzoeksplicht werkgever.</t>
        </is>
      </c>
      <c r="I74" s="5" t="inlineStr">
        <is>
          <t>Huiswerkopdracht module 04, syllabus Klaassen p. 4</t>
        </is>
      </c>
      <c r="J74" s="5" t="inlineStr"/>
      <c r="K74" s="5" t="inlineStr"/>
    </row>
    <row r="75" ht="96" customHeight="1">
      <c r="A75" s="5" t="inlineStr">
        <is>
          <t>card_074</t>
        </is>
      </c>
      <c r="B75" s="5" t="inlineStr">
        <is>
          <t>04</t>
        </is>
      </c>
      <c r="C75" s="5" t="inlineStr">
        <is>
          <t>Commissie Heerts (2020)</t>
        </is>
      </c>
      <c r="D75" s="5" t="inlineStr">
        <is>
          <t>rechtsleer</t>
        </is>
      </c>
      <c r="E75" s="5" t="inlineStr">
        <is>
          <t>Wat is de kern van de voorstellen van de commissie Heerts voor slachtoffers van beroepsziekten?</t>
        </is>
      </c>
      <c r="F75" s="5" t="inlineStr">
        <is>
          <t>De commissie Heerts adviseert een collectieve tegemoetkomingsregeling voor slachtoffers van ernstige beroepsziekten door blootstelling aan gevaarlijke stoffen, naast (of voorafgaand aan) de civielrechtelijke weg. Doel is slachtoffers niet afhankelijk te maken van de bewijsrechtelijke drempels van art. 7:658 BW en de langdurige procedure tegen de werkgever. In 2023 is dit uitgewerkt in de Regeling tegemoetkoming stoffengerelateerde beroepsziekten (TSB).</t>
        </is>
      </c>
      <c r="G75" s="5" t="inlineStr">
        <is>
          <t>Let op: niet letterlijk uit syllabus. Klaassen bespreekt de Heerts-regeling in AV&amp;S 2023/2 (aanbevolen literatuur).</t>
        </is>
      </c>
      <c r="H75" s="5" t="inlineStr">
        <is>
          <t>Commissie vergemakkelijking schadeafhandeling beroepsziekten (Heerts), rapport 2020. Uitgewerkt in de TSB-regeling (Staatscourant 2023). Zie Klaassen AV&amp;S 2023/2 en Alt AV&amp;S 2023/4 (syllabus p. 3).</t>
        </is>
      </c>
      <c r="I75" s="5" t="inlineStr">
        <is>
          <t>Rapport commissie Heerts, 'Stof tot nadenken' (2020); Klaassen, AV&amp;S 2023/2</t>
        </is>
      </c>
      <c r="J75" s="5" t="inlineStr"/>
      <c r="K75" s="5" t="inlineStr"/>
    </row>
    <row r="76" ht="96" customHeight="1">
      <c r="A76" s="6" t="inlineStr">
        <is>
          <t>card_075</t>
        </is>
      </c>
      <c r="B76" s="6" t="inlineStr">
        <is>
          <t>06</t>
        </is>
      </c>
      <c r="C76" s="6" t="inlineStr">
        <is>
          <t>HR Smael c.s./Moszkowicz (1982)</t>
        </is>
      </c>
      <c r="D76" s="6" t="inlineStr">
        <is>
          <t>arrest</t>
        </is>
      </c>
      <c r="E76" s="6" t="inlineStr">
        <is>
          <t>Welke maatstaf geldt voor aansprakelijkheid van een advocaat die een verzoekschrift te laat indient bij gesloten griffie?</t>
        </is>
      </c>
      <c r="F76" s="6" t="inlineStr">
        <is>
          <t>Een verzoekschrift dat op de eerstvolgende dag na een algemeen erkende feestdag wordt ingediend, geldt als tijdig ingediend: een andere opvatting zou de verzoeker zonder redelijk belang van de wederpartij benadelen. Voor de aansprakelijkheid van de advocaat geldt de algemene zorgvuldigheidsnorm van een redelijk bekwaam en redelijk handelend vakgenoot.</t>
        </is>
      </c>
      <c r="G76" s="6" t="inlineStr">
        <is>
          <t>Een andere opvatting zou ertoe leiden dat de tijd die art. 1631b eerste lid tweede zin de verzoeker liet om zijn verzoek in te dienen, te zijnen nadele zou worden verkort, zonder dat een redelijk belang van de wederpartij tot een zodanige verkorting noopt.</t>
        </is>
      </c>
      <c r="H76" s="6" t="inlineStr">
        <is>
          <t>Te late indiening verzoekschrift verlenging huur bedrijfsruimte. Beoordeling termijnen + aansprakelijkheid advocaat jegens (onder)huurder. Syllabus module 06, p. 17–20.</t>
        </is>
      </c>
      <c r="I76" s="6" t="inlineStr">
        <is>
          <t>HR 2 april 1982, NJ 1983/367, m.nt. C.J.H. Brunner (Smael c.s./Moszkowicz)</t>
        </is>
      </c>
      <c r="J76" s="6" t="inlineStr"/>
      <c r="K76" s="6" t="inlineStr"/>
    </row>
    <row r="77" ht="96" customHeight="1">
      <c r="A77" s="6" t="inlineStr">
        <is>
          <t>card_076</t>
        </is>
      </c>
      <c r="B77" s="6" t="inlineStr">
        <is>
          <t>06</t>
        </is>
      </c>
      <c r="C77" s="6" t="inlineStr">
        <is>
          <t>HR Timmer/Deutman (1987)</t>
        </is>
      </c>
      <c r="D77" s="6" t="inlineStr">
        <is>
          <t>arrest</t>
        </is>
      </c>
      <c r="E77" s="6" t="inlineStr">
        <is>
          <t>Hoe moet de bewijslast worden verdeeld bij een vordering tegen een chirurg wegens vermeende kunstfout?</t>
        </is>
      </c>
      <c r="F77" s="6" t="inlineStr">
        <is>
          <t>De HR oordeelt dat van de chirurg een verzwaarde stelplicht kan worden gevergd: hij dient voldoende feitelijke gegevens te verstrekken ter motivering van zijn betwisting van de gestelde kunstfout, teneinde de patiënt aanknopingspunten voor eventuele bewijslevering te bieden. Dat verschuift niet de bewijslast zelf naar de chirurg, maar legt wel een procedurele drempel op de hulpverlener.</t>
        </is>
      </c>
      <c r="G77" s="6" t="inlineStr">
        <is>
          <t>Aansprakelijkheid van chirurg; kunstfout bij operatie? Bewijslast. Stelplicht van chirurg. Motivering. (...) De HR vernietigt 's hofs arrest en verwijst de zaak naar een ander hof.</t>
        </is>
      </c>
      <c r="H77" s="6" t="inlineStr">
        <is>
          <t>Patiënte stelde chirurg aansprakelijk voor heupoperatiefout. Rb. en hof wezen vordering af; HR cassatie. Klassiek arrest over verzwaarde stelplicht/dossierplicht in het medisch tuchtrecht. Syllabus module 06, p. 21–23.</t>
        </is>
      </c>
      <c r="I77" s="6" t="inlineStr">
        <is>
          <t>HR 20 november 1987, NJ 1988/500, m.nt. W.L. Haardt (Timmer/Deutman)</t>
        </is>
      </c>
      <c r="J77" s="6" t="inlineStr"/>
      <c r="K77" s="6" t="inlineStr"/>
    </row>
    <row r="78" ht="96" customHeight="1">
      <c r="A78" s="6" t="inlineStr">
        <is>
          <t>card_077</t>
        </is>
      </c>
      <c r="B78" s="6" t="inlineStr">
        <is>
          <t>06</t>
        </is>
      </c>
      <c r="C78" s="6" t="inlineStr">
        <is>
          <t>HR Baijings (1997)</t>
        </is>
      </c>
      <c r="D78" s="6" t="inlineStr">
        <is>
          <t>arrest</t>
        </is>
      </c>
      <c r="E78" s="6" t="inlineStr">
        <is>
          <t>Hoe wordt de schade van een cliënt vastgesteld wanneer een advocaat verzuimt tijdig hoger beroep in te stellen?</t>
        </is>
      </c>
      <c r="F78" s="6" t="inlineStr">
        <is>
          <t>De maatstaf is wat de uitkomst van het hoger beroep zou zijn geweest indien dit wel was ingesteld. De rechter moet beoordelen welke kans op een gunstig resultaat de cliënt is misgelopen door het verzuim van de advocaat. Dit raakt het leerstuk van de kansschade: de schade wordt naar rato van de gemiste kans vergoed.</t>
        </is>
      </c>
      <c r="G78" s="6" t="inlineStr">
        <is>
          <t>Kan werknemer — na ontbinding arbeidsovereenkomst en toekenning vergoeding naar billijkheid door kantonrechter — in afzonderlijk geding op grond van de redelijkheid en billijkheid nog vordering instellen ter zake van een door de rechter niet meegewogen aanspraak? Bijzondere aard van de wettelijke regeling betreffende de arbeidsovereenkomst; redelijke wetstoepassing. Beroepsaansprakelijkheid advocaat wegens verzuim instellen hoger beroep: maatstaf ter vaststelling door cliënt geleden schade.</t>
        </is>
      </c>
      <c r="H78" s="6" t="inlineStr">
        <is>
          <t>Voormalige werknemer kon optierechten niet uitoefenen na verzuim advocaat hoger beroep in te stellen. Hoofdarrest voor schadeberekening bij advocatenfouten. Syllabus module 06, p. 24–34.</t>
        </is>
      </c>
      <c r="I78" s="6" t="inlineStr">
        <is>
          <t>HR 24 oktober 1997, NJ 1998/257, m.nt. P.A. Stein (Baijings/mr. H)</t>
        </is>
      </c>
      <c r="J78" s="6" t="inlineStr"/>
      <c r="K78" s="6" t="inlineStr"/>
    </row>
    <row r="79" ht="96" customHeight="1">
      <c r="A79" s="6" t="inlineStr">
        <is>
          <t>card_078</t>
        </is>
      </c>
      <c r="B79" s="6" t="inlineStr">
        <is>
          <t>06</t>
        </is>
      </c>
      <c r="C79" s="6" t="inlineStr">
        <is>
          <t>HR Zurich/X (2002)</t>
        </is>
      </c>
      <c r="D79" s="6" t="inlineStr">
        <is>
          <t>arrest</t>
        </is>
      </c>
      <c r="E79" s="6" t="inlineStr">
        <is>
          <t>Wat is de maatstaf voor de zorgplicht van een notaris bij het verlijden van een notariële akte?</t>
        </is>
      </c>
      <c r="F79" s="6" t="inlineStr">
        <is>
          <t>Op de notaris rust een zwaarwegende zorgplicht jegens degene die hem gelden toevertrouwt met een betalingsopdracht. De notaris moet handelen als een redelijk bekwaam en redelijk handelend beroepsgenoot en zo nodig nadere informatie inwinnen ingeval over de inhoud of strekking van de opdracht redelijkerwijs twijfel kan bestaan. Deze zorgplicht reikt niet zo ver dat de notaris de opdrachtgever moet vrijwaren tegen risico's die ook bij hoge zorgvuldigheid niet vermijdbaar zijn.</t>
        </is>
      </c>
      <c r="G79" s="6" t="inlineStr">
        <is>
          <t>Gelet op de positie van notarissen in het maatschappelijk verkeer en op het vertrouwen dat zij als zodanig genieten, rust op notarissen — die dienen te handelen als redelijk bekwame en redelijk handelende beroepsgenoten — een zwaarwegende zorgplicht jegens degene die aan de notaris gelden toevertrouwt met een betalingsopdracht. (...) De zorgplicht van de notaris gaat niet zo ver dat hij zijn opdrachtgever ook behoort te vrijwaren tegen risico's die ook bij een hoge mate van zorgvuldigheid zijnerzijds niet zijn te vermijden.</t>
        </is>
      </c>
      <c r="H79" s="6" t="inlineStr">
        <is>
          <t>Vertrouwensvolle relatie en publieke functie notaris zijn dragend voor de verzwaarde zorgplicht. Syllabus module 06, p. 35–46.</t>
        </is>
      </c>
      <c r="I79" s="6" t="inlineStr">
        <is>
          <t>HR 20 december 2002, NJ 2003/325, m.nt. W.M. Kleijn (Zurich/X)</t>
        </is>
      </c>
      <c r="J79" s="6" t="inlineStr"/>
      <c r="K79" s="6" t="inlineStr"/>
    </row>
    <row r="80" ht="96" customHeight="1">
      <c r="A80" s="6" t="inlineStr">
        <is>
          <t>card_079</t>
        </is>
      </c>
      <c r="B80" s="6" t="inlineStr">
        <is>
          <t>06</t>
        </is>
      </c>
      <c r="C80" s="6" t="inlineStr">
        <is>
          <t>HR Vie d'Or (2006)</t>
        </is>
      </c>
      <c r="D80" s="6" t="inlineStr">
        <is>
          <t>arrest</t>
        </is>
      </c>
      <c r="E80" s="6" t="inlineStr">
        <is>
          <t>Aan welke maatstaf wordt de externe controlerende accountant getoetst voor aansprakelijkheid jegens polishouders?</t>
        </is>
      </c>
      <c r="F80" s="6" t="inlineStr">
        <is>
          <t>Aan wat van een redelijk handelende en redelijk bekwame externe controlerende registeraccountant moest worden gevergd in het kader van een zorgvuldige uitoefening van zijn taak met het oog op de belangen van de polishouders bij de continuïteit van de verzekeraar. Het oordeel van de tuchtrechter is een aanwijzing maar niet beslissend; bij een collectieve actie ex art. 3:305a BW zijn ook kosten ter vaststelling van schade en aansprakelijkheid in beginsel verhaalbaar.</t>
        </is>
      </c>
      <c r="G80" s="6" t="inlineStr">
        <is>
          <t>Ter beantwoording van de vraag of de accountants onrechtmatig hebben gehandeld en deswege aansprakelijk kunnen zijn voor de individuele vermogensschade die de polishouders hebben geleden door de insolventie van Vie d'Or, moet worden onderzocht wat van hen als redelijk handelende en redelijk bekwame externe controlerende registeraccountants moest worden gevergd in het kader van een zorgvuldige uitoefening van hun taak met het oog op de belangen van de polishouders bij de continuiteit van Vie d'Or.</t>
        </is>
      </c>
      <c r="H80" s="6" t="inlineStr">
        <is>
          <t>Faillissement levensverzekeraar Vie d'Or. Aansprakelijkheid externe accountants en DNB jegens derden (polishouders). Hoofdarrest voor accountant-aansprakelijkheid en betekenis tuchtrechtelijk oordeel. Syllabus module 06, p. 47–95.</t>
        </is>
      </c>
      <c r="I80" s="6" t="inlineStr">
        <is>
          <t>HR 13 oktober 2006, NJ 2008/528, m.nt. C.C. van Dam (Vie d'Or)</t>
        </is>
      </c>
      <c r="J80" s="6" t="inlineStr"/>
      <c r="K80" s="6" t="inlineStr"/>
    </row>
    <row r="81" ht="96" customHeight="1">
      <c r="A81" s="6" t="inlineStr">
        <is>
          <t>card_080</t>
        </is>
      </c>
      <c r="B81" s="6" t="inlineStr">
        <is>
          <t>06</t>
        </is>
      </c>
      <c r="C81" s="6" t="inlineStr">
        <is>
          <t>HR Breeweg/Wijnkamp (2015)</t>
        </is>
      </c>
      <c r="D81" s="6" t="inlineStr">
        <is>
          <t>arrest</t>
        </is>
      </c>
      <c r="E81" s="6" t="inlineStr">
        <is>
          <t>Wanneer is een advocaat persoonlijk aansprakelijk wanneer de opdracht is gegeven aan een advocatenmaatschap of -kantoor?</t>
        </is>
      </c>
      <c r="F81" s="6" t="inlineStr">
        <is>
          <t>Wanneer de advocaat zelf niet de contractuele wederpartij is, kan aansprakelijkheid alleen worden gevestigd op grond van art. 6:162 BW. De aansprakelijkheid is afhankelijk van de zorgvuldigheidsnorm van een redelijk bekwaam en redelijk handelend vakgenoot; persoonlijk ernstig verwijt is echter geen vereiste voor de individuele advocaat (anders dan bij bestuurdersaansprakelijkheid).</t>
        </is>
      </c>
      <c r="G81" s="6" t="inlineStr">
        <is>
          <t>Een advocaat dient als beroepsbeoefenaar de zorgvuldigheid te betrachten die van een redelijk bekwaam en redelijk handelend vakgenoot mag worden verwacht. (...) Als de cliënt de advocaat aanspreekt die de opdracht feitelijk heeft uitgevoerd, maar die niet zijn contractuele wederpartij is, kan aansprakelijkheid slechts worden aangenomen met inachtneming van de daarvoor in art. 6:162 BW gestelde eisen.</t>
        </is>
      </c>
      <c r="H81" s="6" t="inlineStr">
        <is>
          <t>Persoonlijke aansprakelijkheid advocaat bij maatschap of praktijkvennootschap. Onderscheid contractuele/buitencontractuele grondslag. Syllabus module 06, p. 96–103.</t>
        </is>
      </c>
      <c r="I81" s="6" t="inlineStr">
        <is>
          <t>HR 18 september 2015, NJ 2016/66, m.nt. P. van Schilfgaarde (Breeweg/Wijnkamp)</t>
        </is>
      </c>
      <c r="J81" s="6" t="inlineStr"/>
      <c r="K81" s="6" t="inlineStr"/>
    </row>
    <row r="82" ht="96" customHeight="1">
      <c r="A82" s="6" t="inlineStr">
        <is>
          <t>card_081</t>
        </is>
      </c>
      <c r="B82" s="6" t="inlineStr">
        <is>
          <t>06</t>
        </is>
      </c>
      <c r="C82" s="6" t="inlineStr">
        <is>
          <t>HR Pensioenadviseur (2023)</t>
        </is>
      </c>
      <c r="D82" s="6" t="inlineStr">
        <is>
          <t>arrest</t>
        </is>
      </c>
      <c r="E82" s="6" t="inlineStr">
        <is>
          <t>Heeft een pensioenadviseur ook een zorgplicht jegens de werknemer wiens pensioen het betreft, naast de werkgever-opdrachtgever?</t>
        </is>
      </c>
      <c r="F82" s="6" t="inlineStr">
        <is>
          <t>Ja. Wanneer de belangen van een derde zo nauw zijn betrokken bij de behoorlijke uitvoering van de overeenkomst dat hij schade kan lijden bij een tekortkoming, kan op grond van het ongeschreven recht een zorgplicht ontstaan jegens die derde. Tekortschieten in die zorgplicht is in beginsel onrechtmatig jegens hem. De omstandigheid dat alle contacten via de werknemer liepen ontneemt de werkgever niet de aansprakelijkheid voor niet-nakoming van de pensioentoezegging, maar kan wel relevant zijn voor eigen schuld van de werknemer.</t>
        </is>
      </c>
      <c r="G82" s="6" t="inlineStr">
        <is>
          <t>Indien de belangen van een derde zo nauw zijn betrokken bij de behoorlijke uitvoering van de overeenkomst dat hij schade of ander nadeel kan lijden als een contractant in die uitvoering tekortschiet, kunnen de normen van hetgeen volgens ongeschreven recht in het maatschappelijk verkeer betaamt, meebrengen dat die contractant zijn gedrag mede door die belangen dient te laten bepalen. (...) Een tekortschieten in die zorgplicht is in beginsel onrechtmatig jegens de derde.</t>
        </is>
      </c>
      <c r="H82" s="6" t="inlineStr">
        <is>
          <t>Aanknopend bij Vleesmeesters/Alog (HR 24 september 2004, NJ 2008/587). Geeft kader voor derden-werking van contractuele zorgplicht. Syllabus module 06, p. 104–112.</t>
        </is>
      </c>
      <c r="I82" s="6" t="inlineStr">
        <is>
          <t>HR 17 maart 2023, ECLI:NL:HR:2023:428, NJ 2023/114 (Pensioenadviseur)</t>
        </is>
      </c>
      <c r="J82" s="6" t="inlineStr"/>
      <c r="K82" s="6" t="inlineStr"/>
    </row>
    <row r="83" ht="96" customHeight="1">
      <c r="A83" s="6" t="inlineStr">
        <is>
          <t>card_082</t>
        </is>
      </c>
      <c r="B83" s="6" t="inlineStr">
        <is>
          <t>06</t>
        </is>
      </c>
      <c r="C83" s="6" t="inlineStr">
        <is>
          <t>HR Verjaring beroepsaansprakelijkheid (2023)</t>
        </is>
      </c>
      <c r="D83" s="6" t="inlineStr">
        <is>
          <t>arrest</t>
        </is>
      </c>
      <c r="E83" s="6" t="inlineStr">
        <is>
          <t>Wanneer begint de korte verjaringstermijn van art. 3:310 lid 1 BW te lopen bij beroepsfouten van een deskundige?</t>
        </is>
      </c>
      <c r="F83" s="6" t="inlineStr">
        <is>
          <t>Pas op de dag na die waarop de benadeelde daadwerkelijk in staat is een rechtsvordering tot schadevergoeding in te stellen. Daarvan is sprake wanneer hij voldoende (geen absolute) zekerheid heeft dat de schade is veroorzaakt door tekortschietend of foutief handelen van de betrokken persoon. Wanneer de benadeelde de kennis mist om de prestatie te beoordelen en mocht vertrouwen op de deskundigheid van de aangesprokene, kan dit het aanvangsmoment uitstellen.</t>
        </is>
      </c>
      <c r="G83" s="6" t="inlineStr">
        <is>
          <t>De verjaringstermijn van art. 3:310 lid 1 BW begint pas te lopen op de dag na die waarop de benadeelde daadwerkelijk in staat is een rechtsvordering tot vergoeding van de door hem geleden schade in te stellen. Daarvan zal sprake zijn als de benadeelde voldoende zekerheid — die niet een absolute zekerheid behoeft te zijn — heeft verkregen dat schade is veroorzaakt door tekortschietend of foutief handelen van de betrokken persoon.</t>
        </is>
      </c>
      <c r="H83" s="6" t="inlineStr">
        <is>
          <t>Aanvang korte verjaringstermijn bij beroepsaansprakelijkheid. Aanknopend bij HR 9 oktober 2020, NJ 2021/187 (Smeehuijzen). Vertrouwen op deskundigheid en geruststellende mededelingen kunnen aanvang uitstellen. Syllabus module 06, p. 113 e.v.</t>
        </is>
      </c>
      <c r="I83" s="6" t="inlineStr">
        <is>
          <t>HR 21 april 2023, ECLI:NL:HR:2023:653, NJ 2023/159 (Verjaring beroepsaansprakelijkheid)</t>
        </is>
      </c>
      <c r="J83" s="6" t="inlineStr"/>
      <c r="K83" s="6" t="inlineStr"/>
    </row>
    <row r="84" ht="96" customHeight="1">
      <c r="A84" s="6" t="inlineStr">
        <is>
          <t>card_083</t>
        </is>
      </c>
      <c r="B84" s="6" t="inlineStr">
        <is>
          <t>06</t>
        </is>
      </c>
      <c r="C84" s="6" t="inlineStr">
        <is>
          <t>Brunner, Ars Aequi 1995</t>
        </is>
      </c>
      <c r="D84" s="6" t="inlineStr">
        <is>
          <t>rechtsleer</t>
        </is>
      </c>
      <c r="E84" s="6" t="inlineStr">
        <is>
          <t>Wat is volgens Brunner het bijzondere aan beroepsaansprakelijkheidsrecht?</t>
        </is>
      </c>
      <c r="F84" s="6" t="inlineStr">
        <is>
          <t>Beroepsaansprakelijkheidsrecht is geen apart deelgebied met eigen regels, maar een toepassing van algemeen aansprakelijkheidsrecht op beroepsbeoefenaars. Wat het onderscheidt zijn de specifieke gedrags- en beroepsregels die de zorgplicht concretiseren, de mogelijkheid van tuchtrechtelijke toetsing, frequentere toepassing van leerstukken zoals kansschade en verzwaarde stelplicht, en de bijzondere verhouding tussen beroepsbeoefenaar en wederpartij.</t>
        </is>
      </c>
      <c r="G84" s="6" t="inlineStr">
        <is>
          <t>Let op: niet letterlijk uit syllabus, maar Brunners artikel 'Is beroepsaansprakelijkheid iets bijzonders?' (Ars Aequi 1995, p. 932-941) staat opgenomen in de syllabus (p. 7-16) en vormt de theoretische lens waarmee de docent de overige stof bespreekt.</t>
        </is>
      </c>
      <c r="H84" s="6" t="inlineStr">
        <is>
          <t>Brunner-artikel uit Ars Aequi 1995. De docent van Emden gebruikt de daarin genoemde 'bijzonderheden' (deskundigheid, gedragsregels, tuchtrecht, kansschade, verzwaarde stelplicht) als rode draad door de hele cursus.</t>
        </is>
      </c>
      <c r="I84" s="6" t="inlineStr">
        <is>
          <t>C.J.H. Brunner, 'Is beroepsaansprakelijkheid iets bijzonders?', Ars Aequi 1995, nr. 12, p. 932-941</t>
        </is>
      </c>
      <c r="J84" s="6" t="inlineStr"/>
      <c r="K84" s="6" t="inlineStr"/>
    </row>
    <row r="85" ht="96" customHeight="1">
      <c r="A85" s="6" t="inlineStr">
        <is>
          <t>card_084</t>
        </is>
      </c>
      <c r="B85" s="6" t="inlineStr">
        <is>
          <t>06</t>
        </is>
      </c>
      <c r="C85" s="6" t="inlineStr">
        <is>
          <t>Algemene zorgplichtnorm beroepsbeoefenaar</t>
        </is>
      </c>
      <c r="D85" s="6" t="inlineStr">
        <is>
          <t>rechtsleer</t>
        </is>
      </c>
      <c r="E85" s="6" t="inlineStr">
        <is>
          <t>Wat is de algemene zorgplichtmaatstaf die voor alle beroepsbeoefenaars geldt?</t>
        </is>
      </c>
      <c r="F85" s="6" t="inlineStr">
        <is>
          <t>Een beroepsbeoefenaar moet de zorgvuldigheid betrachten die van een redelijk bekwaam en redelijk handelend vakgenoot mag worden verwacht. Deze maatstaf is geconcretiseerd voor onder meer artsen, advocaten, notarissen en accountants. De norm wordt ingekleurd door specifieke gedrags- en beroepsregels, maar tuchtrechtelijke veroordeling levert niet automatisch civiele aansprakelijkheid op.</t>
        </is>
      </c>
      <c r="G85" s="6" t="inlineStr">
        <is>
          <t>Een advocaat dient als beroepsbeoefenaar de zorgvuldigheid te betrachten die van een redelijk bekwaam en redelijk handelend vakgenoot mag worden verwacht. (uit Breeweg/Wijnkamp)</t>
        </is>
      </c>
      <c r="H85" s="6" t="inlineStr">
        <is>
          <t>Maatstaf is consistent in alle beroepsaansprakelijkheidsarresten (Smael/Moszkowicz, Timmer/Deutman, Zurich/X, Vie d'Or, Breeweg/Wijnkamp). Syllabus module 06, p. 4 e.v.</t>
        </is>
      </c>
      <c r="I85" s="6" t="inlineStr">
        <is>
          <t>Vaste HR-rechtspraak; samengevat in syllabus module 06, p. 4</t>
        </is>
      </c>
      <c r="J85" s="6" t="inlineStr"/>
      <c r="K85" s="6" t="inlineStr"/>
    </row>
    <row r="86" ht="96" customHeight="1">
      <c r="A86" s="6" t="inlineStr">
        <is>
          <t>card_085</t>
        </is>
      </c>
      <c r="B86" s="6" t="inlineStr">
        <is>
          <t>06</t>
        </is>
      </c>
      <c r="C86" s="6" t="inlineStr">
        <is>
          <t>Tuchtrecht en civielrechtelijke aansprakelijkheid</t>
        </is>
      </c>
      <c r="D86" s="6" t="inlineStr">
        <is>
          <t>rechtsleer</t>
        </is>
      </c>
      <c r="E86" s="6" t="inlineStr">
        <is>
          <t>Welke betekenis heeft een tuchtrechtelijk oordeel voor de civielrechtelijke aansprakelijkheid van een beroepsbeoefenaar?</t>
        </is>
      </c>
      <c r="F86" s="6" t="inlineStr">
        <is>
          <t>Het tuchtrechtelijk oordeel is een belangrijke aanwijzing maar geen dwingend bewijs. De civiele rechter beoordeelt zelfstandig of de norm van een redelijk bekwaam en redelijk handelend vakgenoot is geschonden. Een tuchtrechtelijke vrijspraak sluit civiele aansprakelijkheid niet uit; een tuchtrechtelijke veroordeling brengt deze niet automatisch mee.</t>
        </is>
      </c>
      <c r="G86" s="6" t="inlineStr">
        <is>
          <t>Let op: niet letterlijk uit syllabus, maar volgt uit Vie d'Or (NJ 2008/528) en vaste rechtspraak. Tuchtrecht en civiel recht hebben verschillende doelen.</t>
        </is>
      </c>
      <c r="H86" s="6" t="inlineStr">
        <is>
          <t>Centraal in Vie d'Or en bij beroepen waar tuchtrecht beschikbaar is (advocatuur, notariaat, medisch beroep, accountancy). De rechter waardeert tuchtrechtelijke uitspraken zelfstandig.</t>
        </is>
      </c>
      <c r="I86" s="6" t="inlineStr">
        <is>
          <t>HR 13 oktober 2006, NJ 2008/528 (Vie d'Or), rov. 5.4.4</t>
        </is>
      </c>
      <c r="J86" s="6" t="inlineStr"/>
      <c r="K86" s="6" t="inlineStr"/>
    </row>
    <row r="87" ht="96" customHeight="1">
      <c r="A87" s="6" t="inlineStr">
        <is>
          <t>card_086</t>
        </is>
      </c>
      <c r="B87" s="6" t="inlineStr">
        <is>
          <t>06</t>
        </is>
      </c>
      <c r="C87" s="6" t="inlineStr">
        <is>
          <t>Kansschade</t>
        </is>
      </c>
      <c r="D87" s="6" t="inlineStr">
        <is>
          <t>rechtsleer</t>
        </is>
      </c>
      <c r="E87" s="6" t="inlineStr">
        <is>
          <t>Wat is kansschade en wanneer wordt dit leerstuk toegepast bij beroepsaansprakelijkheid?</t>
        </is>
      </c>
      <c r="F87" s="6" t="inlineStr">
        <is>
          <t>Kansschade is de schade die bestaat in het verlies van een reële kans op een gunstige uitkomst, bijvoorbeeld het winnen van een procedure of het verkrijgen van een financieel voordeel. Bij beroepsaansprakelijkheid (vooral van advocaten, notarissen, financieel adviseurs) wordt vergoed naar rato van de gemiste kans wanneer onzeker is of de gewenste uitkomst zonder de fout zou zijn bereikt. De rechter schat de omvang van de kans en daarmee de schade.</t>
        </is>
      </c>
      <c r="G87" s="6" t="inlineStr">
        <is>
          <t>Let op: niet letterlijk uit syllabus. Hoofdarrest is HR 21 december 2012, NJ 2013/237 (Deloitte/Hassink) — niet in deze syllabus opgenomen, maar examenstof.</t>
        </is>
      </c>
      <c r="H87" s="6" t="inlineStr">
        <is>
          <t>Kansschade speelt vooral bij Baijings-achtige situaties: verzuim hoger beroep door advocaat, gemiste financieringsmogelijkheid door foutief advies. Syllabus noemt 'relatief frequente toepassing' als kenmerk (p. 4).</t>
        </is>
      </c>
      <c r="I87" s="6" t="inlineStr">
        <is>
          <t>HR 21 december 2012, ECLI:NL:HR:2012:BX7491, NJ 2013/237 (Deloitte/Hassink)</t>
        </is>
      </c>
      <c r="J87" s="6" t="inlineStr"/>
      <c r="K87" s="6" t="inlineStr"/>
    </row>
    <row r="88" ht="96" customHeight="1">
      <c r="A88" s="6" t="inlineStr">
        <is>
          <t>card_087</t>
        </is>
      </c>
      <c r="B88" s="6" t="inlineStr">
        <is>
          <t>06</t>
        </is>
      </c>
      <c r="C88" s="6" t="inlineStr">
        <is>
          <t>Verzwaarde stelplicht / dossierplicht</t>
        </is>
      </c>
      <c r="D88" s="6" t="inlineStr">
        <is>
          <t>rechtsleer</t>
        </is>
      </c>
      <c r="E88" s="6" t="inlineStr">
        <is>
          <t>Wat houdt de verzwaarde stelplicht van een beroepsbeoefenaar in?</t>
        </is>
      </c>
      <c r="F88" s="6" t="inlineStr">
        <is>
          <t>Wanneer een cliënt of patiënt de beroepsbeoefenaar aansprakelijk stelt en deze beschikt over informatie die de cliënt niet heeft (zoals dossierstukken), kan de rechter van hem verlangen dat hij voldoende feitelijke gegevens verstrekt ter motivering van zijn betwisting. Het ontbreken van adequate dossiervorming kan leiden tot een bewijsrisico voor de beroepsbeoefenaar; de bewijslast verschuift echter niet automatisch.</t>
        </is>
      </c>
      <c r="G88" s="6" t="inlineStr">
        <is>
          <t>Let op: niet letterlijk uit syllabus. Vloeit voort uit Timmer/Deutman (NJ 1988/500) en is vaste lijn in beroepsaansprakelijkheidszaken.</t>
        </is>
      </c>
      <c r="H88" s="6" t="inlineStr">
        <is>
          <t>Belangrijkste praktische gevolg: een advocaat, notaris of arts moet zijn dossier op orde hebben — anders draagt hij het bewijsrisico dat hij zijn zorgplicht is nagekomen. Syllabus module 06, p. 4 (in opsomming bijzonderheden).</t>
        </is>
      </c>
      <c r="I88" s="6" t="inlineStr">
        <is>
          <t>HR 20 november 1987, NJ 1988/500 (Timmer/Deutman) en vaste rechtspraak</t>
        </is>
      </c>
      <c r="J88" s="6" t="inlineStr"/>
      <c r="K88" s="6" t="inlineStr"/>
    </row>
    <row r="89" ht="96" customHeight="1">
      <c r="A89" s="6" t="inlineStr">
        <is>
          <t>card_088</t>
        </is>
      </c>
      <c r="B89" s="6" t="inlineStr">
        <is>
          <t>06</t>
        </is>
      </c>
      <c r="C89" s="6" t="inlineStr">
        <is>
          <t>Klachtplicht art. 6:89 BW</t>
        </is>
      </c>
      <c r="D89" s="6" t="inlineStr">
        <is>
          <t>rechtsleer</t>
        </is>
      </c>
      <c r="E89" s="6" t="inlineStr">
        <is>
          <t>Geldt de klachtplicht van art. 6:89 BW ook bij beroepsaansprakelijkheid van dienstverleners?</t>
        </is>
      </c>
      <c r="F89" s="6" t="inlineStr">
        <is>
          <t>Ja, ook op overeenkomsten van opdracht is art. 6:89 BW van toepassing. De wederpartij die meent dat de prestatie gebrekkig is, moet binnen bekwame tijd na ontdekking (of redelijkerwijs ontdekken) klagen, op straffe van verval van recht. Wat 'bekwame tijd' is, hangt af van de omstandigheden, waaronder of de cliënt mocht vertrouwen op de deskundigheid van de beroepsbeoefenaar en of er geruststellende mededelingen zijn gedaan.</t>
        </is>
      </c>
      <c r="G89" s="6" t="inlineStr">
        <is>
          <t>Let op: niet letterlijk uit syllabus, maar centraal aspect bij Pensioenadviseur en Verjaring (HR 21 april 2023). Klachtplicht en verjaring werken vergelijkbaar maar niet identiek.</t>
        </is>
      </c>
      <c r="H89" s="6" t="inlineStr">
        <is>
          <t>In Pensioenadviseur en Verjaring beroepsaansprakelijkheid speelt de wisselwerking tussen klachtplicht (6:89 BW) en korte verjaring (3:310 BW). Syllabus module 06, p. 4 (in opsomming bijzonderheden).</t>
        </is>
      </c>
      <c r="I89" s="6" t="inlineStr">
        <is>
          <t>Art. 6:89 BW; HR 8 februari 2013, NJ 2014/497 (Van de Steeg/Rabobank) — niet in syllabus</t>
        </is>
      </c>
      <c r="J89" s="6" t="inlineStr"/>
      <c r="K89" s="6" t="inlineStr"/>
    </row>
    <row r="90" ht="96" customHeight="1">
      <c r="A90" s="6" t="inlineStr">
        <is>
          <t>card_089</t>
        </is>
      </c>
      <c r="B90" s="6" t="inlineStr">
        <is>
          <t>06</t>
        </is>
      </c>
      <c r="C90" s="6" t="inlineStr">
        <is>
          <t>Eigen schuld bij beroepsaansprakelijkheid</t>
        </is>
      </c>
      <c r="D90" s="6" t="inlineStr">
        <is>
          <t>rechtsleer</t>
        </is>
      </c>
      <c r="E90" s="6" t="inlineStr">
        <is>
          <t>Hoe werkt het eigen-schuld-leerstuk bij vorderingen tegen een beroepsbeoefenaar?</t>
        </is>
      </c>
      <c r="F90" s="6" t="inlineStr">
        <is>
          <t>Eigen schuld (art. 6:101 BW) speelt een rol wanneer de cliënt of patiënt zelf heeft bijgedragen aan de schade, bijvoorbeeld door verkeerde of onvolledige informatie te verstrekken, een advies in de wind te slaan, of zelf onvoorzichtig te handelen. De bijzondere verhouding tussen beroepsbeoefenaar en wederpartij — met name het kennis- en vertrouwensoverwicht van de eerste — kan tot terughoudendheid leiden bij toerekening aan de cliënt.</t>
        </is>
      </c>
      <c r="G90" s="6" t="inlineStr">
        <is>
          <t>De omstandigheid dat de contacten met de pensioenadviseur uitsluitend via de werknemer verliepen, staat niet in de weg aan aansprakelijkheid van de werkgever voor de tekortkoming in de nakoming van haar pensioentoezegging aan de werknemer, maar kan wel van belang zijn voor de vraag of de werknemer eigen schuld heeft aan de gestelde pensioenschade. (uit Pensioenadviseur)</t>
        </is>
      </c>
      <c r="H90" s="6" t="inlineStr">
        <is>
          <t>Pensioenadviseur (NJ 2023/114) bevat een expliciete passage over de verhouding eigen schuld werknemer / aansprakelijkheid werkgever. Syllabus module 06, p. 4 (kenmerk) en p. 104 e.v.</t>
        </is>
      </c>
      <c r="I90" s="6" t="inlineStr">
        <is>
          <t>Art. 6:101 BW; HR 17 maart 2023, NJ 2023/114 (Pensioenadviseur)</t>
        </is>
      </c>
      <c r="J90" s="6" t="inlineStr"/>
      <c r="K90" s="6" t="inlineStr"/>
    </row>
    <row r="91" ht="96" customHeight="1">
      <c r="A91" s="6" t="inlineStr">
        <is>
          <t>card_090</t>
        </is>
      </c>
      <c r="B91" s="6" t="inlineStr">
        <is>
          <t>06</t>
        </is>
      </c>
      <c r="C91" s="6" t="inlineStr">
        <is>
          <t>Huiswerkcasus De Vries / Hofman Bewind</t>
        </is>
      </c>
      <c r="D91" s="6" t="inlineStr">
        <is>
          <t>casus</t>
        </is>
      </c>
      <c r="E91" s="6" t="inlineStr">
        <is>
          <t>Aan welke partijen kan Hofman Bewind B.V. zich richten voor schadevergoeding wegens te lage verkoopprijs van het vakantiehuis van De Bont, en op welke grondslagen?</t>
        </is>
      </c>
      <c r="F91" s="6" t="inlineStr">
        <is>
          <t>Mogelijke aangesprokenen: (i) De Vries persoonlijk, op grond van onrechtmatige daad (6:162 BW) en/of beroepsfout als curator (verzaakte zorgplicht onder Wettelijke Curatorenregeling); (ii) Harmonie Bewind B.V., werkgever van De Vries, op grond van 6:170 BW (aansprakelijkheid voor ondergeschikten) of contractuele wanprestatie; (iii) Constant Makelaardij B.V., op grond van onrechtmatige daad jegens derde (NVM-makelaar; tuchtnorm) of contractueel via De Vries als opdrachtgever (taxatiefout). Belangrijke aspecten: causaal verband tussen advies/taxatie en gemiste verkoopopbrengst; eigen schuld De Vries (had bij twijfel zelf moeten verifiëren); contractuele uitsluitingen Constant.</t>
        </is>
      </c>
      <c r="G91" s="6" t="inlineStr">
        <is>
          <t>Schrijf een beknopt advies voor Hofman Bewind B.V. waarin u toelicht welke partij(en) zij mogelijk kan aanspreken. Ga in op de juridische en feitelijke grondslag van de vordering(en), mogelijke uitsluitingen van aansprakelijkheid en het causaal verband.</t>
        </is>
      </c>
      <c r="H91" s="6" t="inlineStr">
        <is>
          <t>Huiswerkcasus Grotius O&amp;A 15 april 2026 (deadline 8 april 2026): vakantiehuis De Bont, taxatie €320.000, verkocht voor €346.000, latere taxatie €385.000. Syllabus module 06, p. 4–6.</t>
        </is>
      </c>
      <c r="I91" s="6" t="inlineStr">
        <is>
          <t>Huiswerkopdracht module 06, syllabus Van Emden p. 4–6</t>
        </is>
      </c>
      <c r="J91" s="6" t="inlineStr"/>
      <c r="K91" s="6" t="inlineStr"/>
    </row>
    <row r="92" ht="96" customHeight="1">
      <c r="A92" s="6" t="inlineStr">
        <is>
          <t>card_091</t>
        </is>
      </c>
      <c r="B92" s="6" t="inlineStr">
        <is>
          <t>06</t>
        </is>
      </c>
      <c r="C92" s="6" t="inlineStr">
        <is>
          <t>Huiswerkcasus De Vries / Hofman Bewind (verjaring)</t>
        </is>
      </c>
      <c r="D92" s="6" t="inlineStr">
        <is>
          <t>casus</t>
        </is>
      </c>
      <c r="E92" s="6" t="inlineStr">
        <is>
          <t>Welke verweren kan De Vries ontlenen aan het tijdsverloop tussen verkoop (2018) en aansprakelijkstelling (2025), en hoe sterk zijn deze?</t>
        </is>
      </c>
      <c r="F92" s="6" t="inlineStr">
        <is>
          <t>De Vries kan een beroep doen op (i) verjaring ex art. 3:310 lid 1 BW: maar de termijn begint pas te lopen vanaf de dag dat Hofman Bewind voldoende zekerheid had dat de schade door foutief handelen is veroorzaakt — dat is in september 2024 (rapport second-opinion makelaar), zodat de vijfjaarstermijn nog niet is verstreken (HR Verjaring beroepsaansprakelijkheid 2023). (ii) Klachtplicht 6:89 BW: hier kan worden gediscussieerd over wat 'bekwame tijd' is na ontdekking. (iii) Bewijsnood door dossiervernietiging in 2022 — risico ligt echter bij de aansprakelijk gestelde partij die zorgvuldigheidsplicht had ten aanzien van dossierbewaring (Timmer/Deutman). Het tijdsverloop levert dus geen sterke bevrijdende verweren op.</t>
        </is>
      </c>
      <c r="G92" s="6" t="inlineStr">
        <is>
          <t>Schrijf een beknopt advies aan De Vries waarin u hem toelicht welke verweren hij aan (specifiek) het tijdsverloop zou kunnen ontlenen en beoordeel daarbij de merites van deze verweren.</t>
        </is>
      </c>
      <c r="H92" s="6" t="inlineStr">
        <is>
          <t>Vraag 2 huiswerkopdracht 06. Hier komen Verjaring (HR 21 april 2023, NJ 2023/159) en klachtplicht (6:89 BW) samen.</t>
        </is>
      </c>
      <c r="I92" s="6" t="inlineStr">
        <is>
          <t>Huiswerkopdracht module 06, syllabus Van Emden p. 8</t>
        </is>
      </c>
      <c r="J92" s="6" t="inlineStr"/>
      <c r="K92" s="6" t="inlineStr"/>
    </row>
    <row r="93" ht="96" customHeight="1">
      <c r="A93" s="7" t="inlineStr">
        <is>
          <t>card_092</t>
        </is>
      </c>
      <c r="B93" s="7" t="inlineStr">
        <is>
          <t>07</t>
        </is>
      </c>
      <c r="C93" s="7" t="inlineStr">
        <is>
          <t>Art. 5 Wwft</t>
        </is>
      </c>
      <c r="D93" s="7" t="inlineStr">
        <is>
          <t>wetsartikel</t>
        </is>
      </c>
      <c r="E93" s="7" t="inlineStr">
        <is>
          <t>Wat is de kern van art. 5 Wwft (cliëntenonderzoek)?</t>
        </is>
      </c>
      <c r="F93" s="7" t="inlineStr">
        <is>
          <t>Een instelling moet cliëntenonderzoek verrichten dat haar in staat stelt de cliënt en de uiteindelijk belanghebbende te identificeren en te verifiëren, het doel en de aard van de zakelijke relatie te kennen, en de zakelijke relatie en transacties voortdurend te monitoren. Het onderzoek moet risicogebaseerd zijn.</t>
        </is>
      </c>
      <c r="G93" s="7" t="inlineStr">
        <is>
          <t>Een instelling verricht cliëntenonderzoek in de bij of krachtens deze wet aangegeven gevallen en op een risicogebaseerde wijze.</t>
        </is>
      </c>
      <c r="H93" s="7" t="inlineStr">
        <is>
          <t>Art. 5 Wwft is poortwachtersnorm: verplicht banken actief onderzoek te doen naar cliënten en transacties ter voorkoming van witwassen en terrorismefinanciering. Zie huiswerkcasus 1 (grond 1).</t>
        </is>
      </c>
      <c r="I93" s="7" t="inlineStr">
        <is>
          <t>Art. 5 Wet ter voorkoming van witwassen en financieren van terrorisme</t>
        </is>
      </c>
      <c r="J93" s="7" t="inlineStr"/>
      <c r="K93" s="7" t="inlineStr"/>
    </row>
    <row r="94" ht="96" customHeight="1">
      <c r="A94" s="7" t="inlineStr">
        <is>
          <t>card_093</t>
        </is>
      </c>
      <c r="B94" s="7" t="inlineStr">
        <is>
          <t>07</t>
        </is>
      </c>
      <c r="C94" s="7" t="inlineStr">
        <is>
          <t>Art. 3:10 en 3:17 Wft</t>
        </is>
      </c>
      <c r="D94" s="7" t="inlineStr">
        <is>
          <t>wetsartikel</t>
        </is>
      </c>
      <c r="E94" s="7" t="inlineStr">
        <is>
          <t>Wat regelen art. 3:10 en 3:17 Wft en wat is hun rol in de bancaire aansprakelijkheid?</t>
        </is>
      </c>
      <c r="F94" s="7" t="inlineStr">
        <is>
          <t>Art. 3:10 Wft verplicht een bank tot een integere bedrijfsvoering (waaronder de preventie van witwassen en fraude); art. 3:17 Wft vereist een beheerste en integere bedrijfsvoering (procedures en maatregelen). Samen met art. 10 en 14 Bpr vormen zij de publiekrechtelijke zorgvuldigheidsnormen die in civielrechtelijke zorgplichtzaken worden ingekleurd via art. 6:162 jo. 6:163 BW.</t>
        </is>
      </c>
      <c r="G94" s="7" t="inlineStr">
        <is>
          <t>Een bank voert een beheerste en integere bedrijfsuitoefening, waaronder wordt verstaan: (...) het tegengaan van strafbare feiten of andere wetsovertredingen, die het vertrouwen in de financiële onderneming of in de financiële markten kunnen schaden.</t>
        </is>
      </c>
      <c r="H94" s="7" t="inlineStr">
        <is>
          <t>Kernartikelen uit de Wft die de publiekrechtelijke verplichtingen van banken structureren. Zie PHR 12 januari 2024, ECLI:NL:PHR:2024:35.</t>
        </is>
      </c>
      <c r="I94" s="7" t="inlineStr">
        <is>
          <t>Art. 3:10 en 3:17 Wet op het financieel toezicht</t>
        </is>
      </c>
      <c r="J94" s="7" t="inlineStr"/>
      <c r="K94" s="7" t="inlineStr"/>
    </row>
    <row r="95" ht="96" customHeight="1">
      <c r="A95" s="7" t="inlineStr">
        <is>
          <t>card_094</t>
        </is>
      </c>
      <c r="B95" s="7" t="inlineStr">
        <is>
          <t>07</t>
        </is>
      </c>
      <c r="C95" s="7" t="inlineStr">
        <is>
          <t>Bijzondere zorgplicht bank</t>
        </is>
      </c>
      <c r="D95" s="7" t="inlineStr">
        <is>
          <t>rechtsleer</t>
        </is>
      </c>
      <c r="E95" s="7" t="inlineStr">
        <is>
          <t>Wat houdt de bijzondere zorgplicht van de bank jegens particuliere cliënten in, en waar vindt die zijn grondslag?</t>
        </is>
      </c>
      <c r="F95" s="7" t="inlineStr">
        <is>
          <t>De bank heeft op grond van haar maatschappelijke functie een bijzondere zorgplicht jegens haar cliënten en — onder omstandigheden — jegens derden. De reikwijdte wordt bepaald door de omstandigheden van het geval: de deskundigheid van de cliënt, de aard en complexiteit van het product, de waarneembaarheid van risico's en de mate waarin de bank op de hoogte was of had moeten zijn van ongebruikelijk betalingsverkeer.</t>
        </is>
      </c>
      <c r="G95" s="7" t="inlineStr">
        <is>
          <t>Op een bank rust als professionele en bij uitstek deskundige dienstverlener een bijzondere zorgplicht bij beleggingsadviesrelaties met particuliere beleggers. De omvang van die zorgplicht is afhankelijk van de omstandigheden van het geval.</t>
        </is>
      </c>
      <c r="H95" s="7" t="inlineStr">
        <is>
          <t>Leidende lijn sinds HR 9 januari 1998 (MeesPierson/Ten Bos) en HR 23 mei 1997 (Rabobank/Everaars), doorgetrokken in Safe Haven (2005) en de daaropvolgende arresten.</t>
        </is>
      </c>
      <c r="I95" s="7" t="inlineStr">
        <is>
          <t>HR 23 december 2005, ECLI:NL:HR:2005:AU3713, NJ 2006/289 (Safe Haven)</t>
        </is>
      </c>
      <c r="J95" s="7" t="inlineStr"/>
      <c r="K95" s="7" t="inlineStr"/>
    </row>
    <row r="96" ht="96" customHeight="1">
      <c r="A96" s="7" t="inlineStr">
        <is>
          <t>card_095</t>
        </is>
      </c>
      <c r="B96" s="7" t="inlineStr">
        <is>
          <t>07</t>
        </is>
      </c>
      <c r="C96" s="7" t="inlineStr">
        <is>
          <t>HR Safe Haven (2005)</t>
        </is>
      </c>
      <c r="D96" s="7" t="inlineStr">
        <is>
          <t>arrest</t>
        </is>
      </c>
      <c r="E96" s="7" t="inlineStr">
        <is>
          <t>Welke maatstaf formuleerde de Hoge Raad in Safe Haven voor de zorgplicht van de bank jegens derden bij ongebruikelijk betalingsverkeer?</t>
        </is>
      </c>
      <c r="F96" s="7" t="inlineStr">
        <is>
          <t>Van de bank kan worden gevergd dat zij tot onderzoek overgaat indien zij weet van het ongebruikelijke betalingsverkeer op de rekeningen van haar cliënt en van aanwijzingen dat daarmee de belangen van derden worden geschaad. De zorgplicht jegens derden strekt zich uit tot degenen wier belangen de bank kon kennen.</t>
        </is>
      </c>
      <c r="G96" s="7" t="inlineStr">
        <is>
          <t>Van de Bank kon worden gevergd dat zij tot onderzoek zou overgaan indien zij wist van het ongebruikelijke betalingsverkeer en de bijbehorende omschrijvingen op de rekeningen, hetgeen wees op beleggingsactiviteiten. Daarbij heeft het hof kennelijk mede acht geslagen op de bijzondere omstandigheden van dit geval.</t>
        </is>
      </c>
      <c r="H96" s="7" t="inlineStr">
        <is>
          <t>Safe Haven is het oerprecedent voor zorgplicht jegens derden. Wordt door alle latere arresten (ING/De Keijzer, Ponzi-zwendel, Footlocker, ING/Yin Yang) tot uitgangspunt genomen.</t>
        </is>
      </c>
      <c r="I96" s="7" t="inlineStr">
        <is>
          <t>HR 23 december 2005, ECLI:NL:HR:2005:AU3713, NJ 2006/289 (Safe Haven)</t>
        </is>
      </c>
      <c r="J96" s="7" t="inlineStr"/>
      <c r="K96" s="7" t="inlineStr"/>
    </row>
    <row r="97" ht="96" customHeight="1">
      <c r="A97" s="7" t="inlineStr">
        <is>
          <t>card_096</t>
        </is>
      </c>
      <c r="B97" s="7" t="inlineStr">
        <is>
          <t>07</t>
        </is>
      </c>
      <c r="C97" s="7" t="inlineStr">
        <is>
          <t>HR ING/De Keijzer (2014)</t>
        </is>
      </c>
      <c r="D97" s="7" t="inlineStr">
        <is>
          <t>arrest</t>
        </is>
      </c>
      <c r="E97" s="7" t="inlineStr">
        <is>
          <t>Wanneer is opzegging van een kredietovereenkomst door de bank naar maatstaven van redelijkheid en billijkheid onaanvaardbaar?</t>
        </is>
      </c>
      <c r="F97" s="7" t="inlineStr">
        <is>
          <t>De rechtsgeldigheid van de opzegging moet worden beoordeeld aan de hand van art. 6:248 lid 2 BW. Opzegging is niet zonder meer onaanvaardbaar; de bank heeft als professionele contractspartij een ruime contractuele vrijheid, maar moet de belangen van de cliënt in haar afweging betrekken. Bij de toetsing mag onderscheid worden gemaakt tussen verschillende onderdelen van de kredietovereenkomst.</t>
        </is>
      </c>
      <c r="G97" s="7" t="inlineStr">
        <is>
          <t>Verbintenissenrecht. Beëindiging kredietovereenkomst door bank rechtsgeldig? Beroep op derogerende werking redelijkheid en billijkheid, art. 6:248 lid 2 BW. Maatstaf. Mag bij de beoordeling van de rechtsgeldigheid van de beëindiging onderscheid worden gemaakt tussen verschillende onderdelen van de kredietovereenkomst?</t>
        </is>
      </c>
      <c r="H97" s="7" t="inlineStr">
        <is>
          <t>Eerste van de reeks zorgplicht-arresten in het syllabus. Inhoudsindicatie rechtstreeks uit syllabus p. 4. Annotatie T.F.E. Tjong Tjin Tai in NJ 2015/70.</t>
        </is>
      </c>
      <c r="I97" s="7" t="inlineStr">
        <is>
          <t>HR 10 oktober 2014, ECLI:NL:HR:2014:2929, NJ 2015/70 (ING Bank/De Keijzer)</t>
        </is>
      </c>
      <c r="J97" s="7" t="inlineStr"/>
      <c r="K97" s="7" t="inlineStr"/>
    </row>
    <row r="98" ht="96" customHeight="1">
      <c r="A98" s="7" t="inlineStr">
        <is>
          <t>card_097</t>
        </is>
      </c>
      <c r="B98" s="7" t="inlineStr">
        <is>
          <t>07</t>
        </is>
      </c>
      <c r="C98" s="7" t="inlineStr">
        <is>
          <t>HR Ponzi-zwendel (2015)</t>
        </is>
      </c>
      <c r="D98" s="7" t="inlineStr">
        <is>
          <t>arrest</t>
        </is>
      </c>
      <c r="E98" s="7" t="inlineStr">
        <is>
          <t>Kan de zorgplicht van de bank jegens derden in een collectieve actie (art. 3:305a BW) worden ingevuld zonder de individuele omstandigheden van de beleggers te onderzoeken?</t>
        </is>
      </c>
      <c r="F98" s="7" t="inlineStr">
        <is>
          <t>Ja. Bij de beoordeling of de bank onrechtmatig heeft gehandeld jegens de door haar cliënt gedupeerde beleggers moet van bijzondere omstandigheden aan de zijde van de beleggers worden geabstraheerd. Die individuele omstandigheden zijn pas relevant bij schade(omvang), causaal verband en eigen schuld. Een andere opvatting zou toepassing van art. 3:305a BW onaanvaardbaar beperken.</t>
        </is>
      </c>
      <c r="G98" s="7" t="inlineStr">
        <is>
          <t>Dient te worden geabstraheerd van bijzondere omstandigheden aan de zijde van de beleggers (vgl. het arrest Safe Haven onder 7.3). Die omstandigheden zijn pas relevant bij vragen omtrent bijvoorbeeld schade(omvang), causaal verband en eigen schuld. Een andere opvatting zou toepassing van art. 3:305a BW onaanvaardbaar beperken.</t>
        </is>
      </c>
      <c r="H98" s="7" t="inlineStr">
        <is>
          <t>Vervolg op Safe Haven, toegepast op een Ponzi-zwendel. Belangrijk omdat de Hoge Raad collectieve actie verenigbaar verklaart met de zorgplicht-beoordeling. Syllabus p. 10 e.v.</t>
        </is>
      </c>
      <c r="I98" s="7" t="inlineStr">
        <is>
          <t>HR 27 november 2015, ECLI:NL:HR:2015:3399, NJ 2016/245 (Ponzi-zwendel)</t>
        </is>
      </c>
      <c r="J98" s="7" t="inlineStr"/>
      <c r="K98" s="7" t="inlineStr"/>
    </row>
    <row r="99" ht="96" customHeight="1">
      <c r="A99" s="7" t="inlineStr">
        <is>
          <t>card_098</t>
        </is>
      </c>
      <c r="B99" s="7" t="inlineStr">
        <is>
          <t>07</t>
        </is>
      </c>
      <c r="C99" s="7" t="inlineStr">
        <is>
          <t>Hof Amsterdam Footlocker (2019)</t>
        </is>
      </c>
      <c r="D99" s="7" t="inlineStr">
        <is>
          <t>arrest</t>
        </is>
      </c>
      <c r="E99" s="7" t="inlineStr">
        <is>
          <t>Geldt de bancaire zorgplicht jegens derden ook wanneer de derde geen particuliere belegger maar een professionele onderneming is?</t>
        </is>
      </c>
      <c r="F99" s="7" t="inlineStr">
        <is>
          <t>Ja. Ook jegens een professionele derde kan een zorgplicht bestaan indien de bank weet van ongebruikelijke transacties op een pas geopende rekening en van potentiële risico's voor de derde die aanzienlijke bedragen naar die rekening overmaakt. Onvoldoende voortvarend onderzoek en het niet tijdig blokkeren van de rekening leveren schending op; de eigen schuld van de derde kan wel tot vermindering van de vergoedingsplicht leiden.</t>
        </is>
      </c>
      <c r="G99" s="7" t="inlineStr">
        <is>
          <t>Bank wist van ongebruikelijke transacties op bankrekening en van potentiële risico's voor derde die aanzienlijke bedragen naar bankrekening overmaakte. Bank heeft onvoldoende voortvarend onderzoek gedaan naar ongebruikelijke transacties en heeft bankrekening niet tijdig geblokkeerd. Schending zorgplicht jegens derde die daardoor schade heeft geleden. Eigen schuld aan zijde derde leidt tot verminderen vergoedingsplicht van bank.</t>
        </is>
      </c>
      <c r="H99" s="7" t="inlineStr">
        <is>
          <t>Belangrijke uitbreiding: zorgplicht jegens derden is niet beperkt tot particuliere beleggers. Noot F.P.C. Strijbos in JOR 2019/162. Syllabus p. 18 e.v.</t>
        </is>
      </c>
      <c r="I99" s="7" t="inlineStr">
        <is>
          <t>Hof Amsterdam 14 mei 2019, ECLI:NL:GHAMS:2019:1611, JOR 2019/162 (Footlocker)</t>
        </is>
      </c>
      <c r="J99" s="7" t="inlineStr"/>
      <c r="K99" s="7" t="inlineStr"/>
    </row>
    <row r="100" ht="96" customHeight="1">
      <c r="A100" s="7" t="inlineStr">
        <is>
          <t>card_099</t>
        </is>
      </c>
      <c r="B100" s="7" t="inlineStr">
        <is>
          <t>07</t>
        </is>
      </c>
      <c r="C100" s="7" t="inlineStr">
        <is>
          <t>HR ING/Yin Yang (2021)</t>
        </is>
      </c>
      <c r="D100" s="7" t="inlineStr">
        <is>
          <t>arrest</t>
        </is>
      </c>
      <c r="E100" s="7" t="inlineStr">
        <is>
          <t>Onder welke voorwaarden mag een bank een cliëntrelatie opzeggen wegens (vermoedens van) witwasrisico?</t>
        </is>
      </c>
      <c r="F100" s="7" t="inlineStr">
        <is>
          <t>Bij de beoordeling van de opzegging moet de contractsvrijheid van de bank worden afgewogen tegen de maatschappelijke positie van banken en het grote belang van een bankrekening in het maatschappelijk verkeer. Art. 4:71f Wft geeft recht op een basisbetaalrekening; daarbuiten geldt een zware belangenafweging. De bank moet de opzegging deugdelijk motiveren en alternatieven overwegen.</t>
        </is>
      </c>
      <c r="G100" s="7" t="inlineStr">
        <is>
          <t>Vordering van saunaclub tot herstel bankrelatie (bankrekening en storten contant geld) na opzegging wegens o.m. witwasrisico. Contractsvrijheid; maatschappelijke positie banken; belang bankrekening in maatschappelijk verkeer; art. 4:71f Wft; belangenafweging.</t>
        </is>
      </c>
      <c r="H100" s="7" t="inlineStr">
        <is>
          <t>Leading case voor opzegging bankrelatie. Noot D. Busch in AA20220139 en C.W.M. Lieverse in Ondernemingsrecht 2022/21. Syllabus p. 30 e.v.</t>
        </is>
      </c>
      <c r="I100" s="7" t="inlineStr">
        <is>
          <t>HR 5 november 2021, ECLI:NL:HR:2021:1652, NJ 2021/352 (ING/Yin Yang)</t>
        </is>
      </c>
      <c r="J100" s="7" t="inlineStr"/>
      <c r="K100" s="7" t="inlineStr"/>
    </row>
    <row r="101" ht="96" customHeight="1">
      <c r="A101" s="7" t="inlineStr">
        <is>
          <t>card_100</t>
        </is>
      </c>
      <c r="B101" s="7" t="inlineStr">
        <is>
          <t>07</t>
        </is>
      </c>
      <c r="C101" s="7" t="inlineStr">
        <is>
          <t>Hof Amsterdam 17 januari 2023 (KG)</t>
        </is>
      </c>
      <c r="D101" s="7" t="inlineStr">
        <is>
          <t>arrest</t>
        </is>
      </c>
      <c r="E101" s="7" t="inlineStr">
        <is>
          <t>Kan in kort geding een bank worden veroordeeld tot voortzetting van bancaire dienstverlening ondanks Wwft-bezwaren?</t>
        </is>
      </c>
      <c r="F101" s="7" t="inlineStr">
        <is>
          <t>Ja, mits de voorzieningenrechter kan oordelen dat de opzegging summierlijk ongegrond lijkt. Principiële vragen over de toepassing van de Wwft horen in de bodemprocedure thuis, maar het grote belang van de betaalrekening in het maatschappelijk verkeer kan rechtvaardigen dat de bankrelatie lopende de bodemprocedure wordt voortgezet.</t>
        </is>
      </c>
      <c r="G101" s="7" t="inlineStr">
        <is>
          <t>Kort geding. Opzegging bankrelatie. Veroordeling van bank tot voortzetting bancaire dienstverlening wat het gebruik van de betaalrekeningen van de betrokken rechtspersonen betreft. Met de feiten verweven principiële vragen met betrekking tot de toepassing van de Wwft die in de bodemprocedure aan orde kunnen komen.</t>
        </is>
      </c>
      <c r="H101" s="7" t="inlineStr">
        <is>
          <t>Vervolg op Yin Yang. Bevestigt dat belangenafweging in voorlopige voorzieningenprocedure mogelijk is. Syllabus p. 38 e.v.</t>
        </is>
      </c>
      <c r="I101" s="7" t="inlineStr">
        <is>
          <t>Hof Amsterdam 17 januari 2023, ECLI:NL:GHAMS:2023:85</t>
        </is>
      </c>
      <c r="J101" s="7" t="inlineStr"/>
      <c r="K101" s="7" t="inlineStr"/>
    </row>
    <row r="102" ht="96" customHeight="1">
      <c r="A102" s="7" t="inlineStr">
        <is>
          <t>card_101</t>
        </is>
      </c>
      <c r="B102" s="7" t="inlineStr">
        <is>
          <t>07</t>
        </is>
      </c>
      <c r="C102" s="7" t="inlineStr">
        <is>
          <t>PHR 12 januari 2024 (Loef/bank)</t>
        </is>
      </c>
      <c r="D102" s="7" t="inlineStr">
        <is>
          <t>arrest</t>
        </is>
      </c>
      <c r="E102" s="7" t="inlineStr">
        <is>
          <t>Strekt de verplichting tot cliëntenonderzoek (art. 3:10 en 3:17 Wft, art. 14 Bpr, art. 3 Wwft) mede tot bescherming van derden die door het uitblijven van dat onderzoek schade lijden?</t>
        </is>
      </c>
      <c r="F102" s="7" t="inlineStr">
        <is>
          <t>Volgens de conclusie van de A-G is er geen algemene verplichting voor banken om het handelsregister en het insolventieregister voortdurend te controleren. De normen uit Wft en Wwft strekken primair tot bescherming van het financiële stelsel. Of zij ook tot bescherming van de individuele derde strekken (relativiteit, art. 6:163 BW), moet per norm en per geval worden beoordeeld.</t>
        </is>
      </c>
      <c r="G102" s="7" t="inlineStr">
        <is>
          <t>Aansprakelijkheidsrecht. Financieel recht. Zorgplicht van bank jegens derden. Verplichting tot cliëntenonderzoek en monitoren cliënten op grond van Wft en Wwft. Relativiteit normen (art. 6:163 BW). Bank controleert niet het handelsregister en het insolventieregister en is daardoor niet op hoogte van ontbinding en faillissement van rekeninghouder, terwijl rekening wordt gebruikt voor wegsluizen verduisterde gelden.</t>
        </is>
      </c>
      <c r="H102" s="7" t="inlineStr">
        <is>
          <t>Conclusie A-G voorafgaand aan HR 22 maart 2024, ECLI:NL:HR:2024:482 (art. 81 RO). Kernanalyse van de relativiteit van publiekrechtelijke normen. Syllabus p. 47 e.v.</t>
        </is>
      </c>
      <c r="I102" s="7" t="inlineStr">
        <is>
          <t>PHR 12 januari 2024, ECLI:NL:PHR:2024:35</t>
        </is>
      </c>
      <c r="J102" s="7" t="inlineStr"/>
      <c r="K102" s="7" t="inlineStr"/>
    </row>
    <row r="103" ht="96" customHeight="1">
      <c r="A103" s="7" t="inlineStr">
        <is>
          <t>card_102</t>
        </is>
      </c>
      <c r="B103" s="7" t="inlineStr">
        <is>
          <t>07</t>
        </is>
      </c>
      <c r="C103" s="7" t="inlineStr">
        <is>
          <t>Hof Amsterdam Rose Telecom (2024)</t>
        </is>
      </c>
      <c r="D103" s="7" t="inlineStr">
        <is>
          <t>arrest</t>
        </is>
      </c>
      <c r="E103" s="7" t="inlineStr">
        <is>
          <t>Mag een bank een cliënt voor vijf jaar opnemen in de interne waarschuwingslijst wegens Wwft-bezwaren?</t>
        </is>
      </c>
      <c r="F103" s="7" t="inlineStr">
        <is>
          <t>Ja, indien de bank — na belangenafweging — voldoende gronden heeft voor het vermoeden van witwassen of terrorismefinanciering en de duur en reikwijdte van de registratie proportioneel zijn. Het hof bekrachtigt de afwijzing in kort geding. De registratie is een gerechtvaardigde voorzorgsmaatregel, maar moet rusten op concrete feiten.</t>
        </is>
      </c>
      <c r="G103" s="7" t="inlineStr">
        <is>
          <t>De bank heeft de bancaire relatie met appellante opgezegd en haar voor de duur van vijf jaar opgenomen in de interne waarschuwingslijst van de bank met betrekking tot witwassen en financiering van terrorisme. Het hof bekrachtigt het bestreden vonnis.</t>
        </is>
      </c>
      <c r="H103" s="7" t="inlineStr">
        <is>
          <t>Aansluiting bij de belangenafweging uit Yin Yang. Noot B.W. Wijnstekers in JOR 2024/171. Syllabus p. 63 e.v.</t>
        </is>
      </c>
      <c r="I103" s="7" t="inlineStr">
        <is>
          <t>Hof Amsterdam 27 februari 2024, ECLI:NL:GHAMS:2024:412 (Rose Telecom)</t>
        </is>
      </c>
      <c r="J103" s="7" t="inlineStr"/>
      <c r="K103" s="7" t="inlineStr"/>
    </row>
    <row r="104" ht="96" customHeight="1">
      <c r="A104" s="7" t="inlineStr">
        <is>
          <t>card_103</t>
        </is>
      </c>
      <c r="B104" s="7" t="inlineStr">
        <is>
          <t>07</t>
        </is>
      </c>
      <c r="C104" s="7" t="inlineStr">
        <is>
          <t>HR 22 maart 2024 (Loef/bank)</t>
        </is>
      </c>
      <c r="D104" s="7" t="inlineStr">
        <is>
          <t>arrest</t>
        </is>
      </c>
      <c r="E104" s="7" t="inlineStr">
        <is>
          <t>Welke betekenis heeft HR 22 maart 2024 voor de vraag of een bank op grond van de zorgplicht op de hoogte moet zijn van de ontbinding en het faillissement van een cliënt?</t>
        </is>
      </c>
      <c r="F104" s="7" t="inlineStr">
        <is>
          <t>De Hoge Raad verwerpt het cassatieberoep met een art. 81 RO-motivering. Daarmee blijft het oordeel van het hof in stand: de bank is niet zonder meer verplicht het handelsregister en het insolventieregister voortdurend te monitoren. De normen uit Wft en Wwft strekken niet zonder meer tot bescherming van de individuele derde tegen frauduleus wegsluizen van gelden.</t>
        </is>
      </c>
      <c r="G104" s="7" t="inlineStr">
        <is>
          <t>Art. 81 lid 1 RO. Aansprakelijkheidsrecht. Financieel recht. Pauliana (art. 3:45 BW). Zorgplicht bank jegens derden. Verplichting tot cliëntenonderzoek en monitoren cliënten (art. 3:10 en 3:17 Wft, art. 14 Bpr en art. 3 Wwft). Moest bank (uit hoofde van haar zorgplicht) op de hoogte zijn van ontbinding en faillissement van cliënt?</t>
        </is>
      </c>
      <c r="H104" s="7" t="inlineStr">
        <is>
          <t>Art. 81 RO-verwerping van het cassatieberoep tegen Hof Den Haag ECLI:NL:GHDHA:2022:2274. Bevestigt PHR 2024:35. Syllabus p. 74 e.v.</t>
        </is>
      </c>
      <c r="I104" s="7" t="inlineStr">
        <is>
          <t>HR 22 maart 2024, ECLI:NL:HR:2024:482 (art. 81 RO)</t>
        </is>
      </c>
      <c r="J104" s="7" t="inlineStr"/>
      <c r="K104" s="7" t="inlineStr"/>
    </row>
    <row r="105" ht="96" customHeight="1">
      <c r="A105" s="7" t="inlineStr">
        <is>
          <t>card_104</t>
        </is>
      </c>
      <c r="B105" s="7" t="inlineStr">
        <is>
          <t>07</t>
        </is>
      </c>
      <c r="C105" s="7" t="inlineStr">
        <is>
          <t>Rb. Amsterdam 8 mei 2024</t>
        </is>
      </c>
      <c r="D105" s="7" t="inlineStr">
        <is>
          <t>arrest</t>
        </is>
      </c>
      <c r="E105" s="7" t="inlineStr">
        <is>
          <t>Strekken de normen van de Wwft mede tot bescherming tegen door fraude geleden schade van derden (relativiteit)?</t>
        </is>
      </c>
      <c r="F105" s="7" t="inlineStr">
        <is>
          <t>Nee. De Wwft is gericht op effectieve bestrijding van activiteiten die het gezag van de overheid ondermijnen. De ontdekking van fraude kan een gevolg van naleving zijn, maar de normen van de Wwft strekken niet tot bescherming tegen door fraude geleden schade. De zorgplicht jegens derden moet dus langs de civielrechtelijke weg (onrechtmatige daad, Safe Haven) worden beoordeeld, niet via relativiteit van de Wwft.</t>
        </is>
      </c>
      <c r="G105" s="7" t="inlineStr">
        <is>
          <t>Wel van belang maar niet doorslaggevend is of de systemen van de bank voldeden aan de Wwft. De Wwft is gericht op een effectieve bestrijding van activiteiten die het gezag van de overheid ondermijnen. Een gevolg daarvan kan de ontdekking van gepleegde fraude zijn, maar de normen van de Wwft strekken niet tot bescherming tegen door fraude geleden schade.</t>
        </is>
      </c>
      <c r="H105" s="7" t="inlineStr">
        <is>
          <t>Belangrijk voor de beoordeling van grond 1 in huiswerkcasus 1 (Wwft als grondslag schadeclaim). Noot A. Werts in JOR 2024/232. Syllabus p. 77 e.v.</t>
        </is>
      </c>
      <c r="I105" s="7" t="inlineStr">
        <is>
          <t>Rb. Amsterdam 8 mei 2024, ECLI:NL:RBAMS:2024:2335, JOR 2024/232</t>
        </is>
      </c>
      <c r="J105" s="7" t="inlineStr"/>
      <c r="K105" s="7" t="inlineStr"/>
    </row>
    <row r="106" ht="96" customHeight="1">
      <c r="A106" s="7" t="inlineStr">
        <is>
          <t>card_105</t>
        </is>
      </c>
      <c r="B106" s="7" t="inlineStr">
        <is>
          <t>07</t>
        </is>
      </c>
      <c r="C106" s="7" t="inlineStr">
        <is>
          <t>Hof Amsterdam Tagiuk Gold (2024)</t>
        </is>
      </c>
      <c r="D106" s="7" t="inlineStr">
        <is>
          <t>arrest</t>
        </is>
      </c>
      <c r="E106" s="7" t="inlineStr">
        <is>
          <t>Mag een bank — op grond van een fraudevermoeden — betalingen van klanten aan een begunstigde tegenhouden en aan die klanten vragen stellen over die betalingen?</t>
        </is>
      </c>
      <c r="F106" s="7" t="inlineStr">
        <is>
          <t>Ja, mits de bank voldoende aanwijzingen heeft voor een vermoeden van fraude en zij in haar communicatie met klanten de eer en goede naam van de begunstigde niet onnodig aantast. De bank handelt dan niet onrechtmatig jegens de begunstigde. De belangenafweging weegt het consumentenbelang en de poortwachtersfunctie zwaarder dan de commerciële belangen van de (vermoedelijk frauduleuze) begunstigde.</t>
        </is>
      </c>
      <c r="G106" s="7" t="inlineStr">
        <is>
          <t>De banken hadden voldoende aanwijzingen voor een vermoeden van fraude en mochten daarop acteren richting hun klanten. Zij hebben daarbij de eer en goede naam van Tagiuk Gold c.s. niet aangetast en niet onrechtmatig gehandeld.</t>
        </is>
      </c>
      <c r="H106" s="7" t="inlineStr">
        <is>
          <t>Keerzijde van de zorgplicht: de bank mag — en moet soms — actief ingrijpen bij vermoedens van fraude. Noot F.M.A. 't Hart in JOR 2025/61. Syllabus p. 82 e.v.</t>
        </is>
      </c>
      <c r="I106" s="7" t="inlineStr">
        <is>
          <t>Hof Amsterdam 16 juli 2024, ECLI:NL:GHAMS:2024:1971 (Tagiuk Gold)</t>
        </is>
      </c>
      <c r="J106" s="7" t="inlineStr"/>
      <c r="K106" s="7" t="inlineStr"/>
    </row>
    <row r="107" ht="96" customHeight="1">
      <c r="A107" s="7" t="inlineStr">
        <is>
          <t>card_106</t>
        </is>
      </c>
      <c r="B107" s="7" t="inlineStr">
        <is>
          <t>07</t>
        </is>
      </c>
      <c r="C107" s="7" t="inlineStr">
        <is>
          <t>Rb. Den Haag 13 november 2024</t>
        </is>
      </c>
      <c r="D107" s="7" t="inlineStr">
        <is>
          <t>arrest</t>
        </is>
      </c>
      <c r="E107" s="7" t="inlineStr">
        <is>
          <t>Kan een financiële instelling een overeenkomst beëindigen uitsluitend op grond van de omstandigheid dat de cliënt niet meewerkt aan cliëntenonderzoek onder de Wwft?</t>
        </is>
      </c>
      <c r="F107" s="7" t="inlineStr">
        <is>
          <t>Nee, tenzij de verplichting tot meewerken contractueel is opgenomen. Een enkel beroep op de Wwft is onvoldoende om een contractuele beëindigingsgrond te scheppen. De Wwft legt de plicht tot cliëntenonderzoek op aan de instelling; zonder contractuele verankering kan een weigering van de cliënt niet als grond voor opzegging dienen.</t>
        </is>
      </c>
      <c r="G107" s="7" t="inlineStr">
        <is>
          <t>Financiële instelling heeft overeenkomst met een cliënt niet rechtsgeldig beëindigd op grond van de omstandigheid dat de cliënt niet heeft meegewerkt aan cliëntenonderzoek als bedoeld in de Wwft. De verplichting van de cliënt om mee te werken aan cliëntenonderzoek is niet opgenomen in de contractuele bepalingen van de geldleningsovereenkomst, waardoor een verplichting tot meewerken ontbreekt. Een enkel beroep op de Wwft is niet voldoende.</t>
        </is>
      </c>
      <c r="H107" s="7" t="inlineStr">
        <is>
          <t>Belangrijk contrapunt bij Yin Yang: niet elke Wwft-beperking rechtvaardigt opzegging. Noot B.W. Wijnstekers in JOR 2025/62. Syllabus p. 90 e.v.</t>
        </is>
      </c>
      <c r="I107" s="7" t="inlineStr">
        <is>
          <t>Rb. Den Haag 13 november 2024, ECLI:NL:RBDHA:2024:18875, JOR 2025/62</t>
        </is>
      </c>
      <c r="J107" s="7" t="inlineStr"/>
      <c r="K107" s="7" t="inlineStr"/>
    </row>
    <row r="108" ht="96" customHeight="1">
      <c r="A108" s="7" t="inlineStr">
        <is>
          <t>card_107</t>
        </is>
      </c>
      <c r="B108" s="7" t="inlineStr">
        <is>
          <t>07</t>
        </is>
      </c>
      <c r="C108" s="7" t="inlineStr">
        <is>
          <t>Hof Arnhem-Leeuwarden Melkveehouder/fosfaat (2023)</t>
        </is>
      </c>
      <c r="D108" s="7" t="inlineStr">
        <is>
          <t>arrest</t>
        </is>
      </c>
      <c r="E108" s="7" t="inlineStr">
        <is>
          <t>Moet een bank bij het aangaan van een kredietovereenkomst met een melkveehouder waarschuwen voor mogelijke productiebeperkende maatregelen (zoals het fosfaatrechtenstelsel)?</t>
        </is>
      </c>
      <c r="F108" s="7" t="inlineStr">
        <is>
          <t>Onder de gegeven omstandigheden houdt de zorgplicht van de bank in dat zij bij het aangaan van de kredietovereenkomst met de melkveehouder afstemt of hij de mogelijke productiebeperkende maatregelen en de gevolgen daarvan voor zijn bedrijfsvoering voldoende overziet. Het hof acht voorshands aannemelijk dat de bank deze waarschuwing heeft nagelaten en laat haar toe tot tegenbewijs.</t>
        </is>
      </c>
      <c r="G108" s="7" t="inlineStr">
        <is>
          <t>Het hof overweegt dat onder de gegeven omstandigheden de zorgplicht van de bank tegenover de melkveehouder inhield dat zij bij het aangaan van de kredietovereenkomst met de melkveehouder afstemde of hij de mogelijk komende productiebeperkende maatregelen en de gevolgen daarvan voor zijn bedrijfsvoering voldoende overzag.</t>
        </is>
      </c>
      <c r="H108" s="7" t="inlineStr">
        <is>
          <t>Kernuitspraak voor huiswerkcasus 2 (DWM/Boerenleenbank). Toepassing van de bancaire waarschuwingsplicht op agrarisch krediet. Noten R. Ligtvoet (TvAR 2023/8159) en B. Arentz (M en R 2024/9). Syllabus p. 107 e.v.</t>
        </is>
      </c>
      <c r="I108" s="7" t="inlineStr">
        <is>
          <t>Hof Arnhem-Leeuwarden 31 oktober 2023, ECLI:NL:GHARL:2023:9205</t>
        </is>
      </c>
      <c r="J108" s="7" t="inlineStr"/>
      <c r="K108" s="7" t="inlineStr"/>
    </row>
    <row r="109" ht="96" customHeight="1">
      <c r="A109" s="7" t="inlineStr">
        <is>
          <t>card_108</t>
        </is>
      </c>
      <c r="B109" s="7" t="inlineStr">
        <is>
          <t>07</t>
        </is>
      </c>
      <c r="C109" s="7" t="inlineStr">
        <is>
          <t>HR 5 september 2025 (Melkveehouder/fosfaat)</t>
        </is>
      </c>
      <c r="D109" s="7" t="inlineStr">
        <is>
          <t>arrest</t>
        </is>
      </c>
      <c r="E109" s="7" t="inlineStr">
        <is>
          <t>Heeft de Hoge Raad in het tussentijds cassatieberoep tegen Hof Arnhem-Leeuwarden 2023 de zorgplicht van de bank jegens de melkveehouder bevestigd?</t>
        </is>
      </c>
      <c r="F109" s="7" t="inlineStr">
        <is>
          <t>De Hoge Raad beoordeelt de zorgplicht aan de hand van de Promontoria-lijn (HR 10 juli 2020, ECLI:NL:HR:2020:1274 en 2020:1276). De reikwijdte van de zorgplicht wordt bepaald door de kenbaarheid van het risico, de deskundigheid van de cliënt en de bijzondere omstandigheden van het geval. Het tussentijds cassatieberoep geeft de Hoge Raad gelegenheid de contouren van de waarschuwingsplicht bij agrarisch krediet nader te trekken.</t>
        </is>
      </c>
      <c r="G109" s="7" t="inlineStr">
        <is>
          <t>Verbintenissenrecht. Aansprakelijkheidsrecht. Zorgplicht bank bij afsluiten kredietovereenkomst met melkveebedrijf voor vervanging/uitbreiding stallen en aankoop grond, t.z.v. mogelijke productiebeperkende maatregelen zoals fosfaatrechtenstelsel. HR 10 juli 2020, ECLI:NL:HR:2020:1274 en ECLI:NL:HR:2020:1276 (Promontoria). Tussentijds cassatieberoep.</t>
        </is>
      </c>
      <c r="H109" s="7" t="inlineStr">
        <is>
          <t>Nieuwste arrest in het syllabus. Noten D. Busch (AA20260052) en F.M.A. 't Hart (JOR 2025/261). Syllabus p. 118 e.v.</t>
        </is>
      </c>
      <c r="I109" s="7" t="inlineStr">
        <is>
          <t>HR 5 september 2025, ECLI:NL:HR:2025:1237</t>
        </is>
      </c>
      <c r="J109" s="7" t="inlineStr"/>
      <c r="K109" s="7" t="inlineStr"/>
    </row>
    <row r="110" ht="96" customHeight="1">
      <c r="A110" s="7" t="inlineStr">
        <is>
          <t>card_109</t>
        </is>
      </c>
      <c r="B110" s="7" t="inlineStr">
        <is>
          <t>07</t>
        </is>
      </c>
      <c r="C110" s="7" t="inlineStr">
        <is>
          <t>Busch, Bancaire zorgplicht (AA 2026/1)</t>
        </is>
      </c>
      <c r="D110" s="7" t="inlineStr">
        <is>
          <t>rechtsleer</t>
        </is>
      </c>
      <c r="E110" s="7" t="inlineStr">
        <is>
          <t>Welke drie elementen maakt Busch doorslaggevend voor de omvang van de bancaire waarschuwingsplicht bij agrarisch krediet?</t>
        </is>
      </c>
      <c r="F110" s="7" t="inlineStr">
        <is>
          <t>(1) De kenbaarheid van het risico voor de bank (lag de productiebeperking op de loer?); (2) de mate waarin de bank expertise heeft op het specifieke dossier (agrarisch financier vs. generalist); (3) de afhankelijkheid van de cliënt: kan hij redelijkerwijs zelf het risico overzien of is hij aangewezen op de inschatting van zijn kredietverstrekker? Bij zichtbaar risico en deskundigheidsvoorsprong van de bank reikt de zorgplicht tot een actieve waarschuwing.</t>
        </is>
      </c>
      <c r="G110" s="7" t="inlineStr">
        <is>
          <t>De vraag of de bank moet waarschuwen voor aanstaande regulering hangt af van de kenbaarheid van het risico voor de bank, haar expertise op het specifieke dossier en de afhankelijkheid van de cliënt van haar inschatting.</t>
        </is>
      </c>
      <c r="H110" s="7" t="inlineStr">
        <is>
          <t>D. Busch, 'Bancaire zorgplicht, melkveehouders &amp; fosfaatrechten', Ars Aequi Maandblad 2026/1, Stichting Ars Aequi. Syllabus p. 126 e.v.</t>
        </is>
      </c>
      <c r="I110" s="7" t="inlineStr">
        <is>
          <t>D. Busch, AA 2026/1, p. 126 e.v.</t>
        </is>
      </c>
      <c r="J110" s="7" t="inlineStr"/>
      <c r="K110" s="7" t="inlineStr"/>
    </row>
    <row r="111" ht="96" customHeight="1">
      <c r="A111" s="7" t="inlineStr">
        <is>
          <t>card_110</t>
        </is>
      </c>
      <c r="B111" s="7" t="inlineStr">
        <is>
          <t>07</t>
        </is>
      </c>
      <c r="C111" s="7" t="inlineStr">
        <is>
          <t>Heesterbeek &amp; Van der Leeuw, MvV 2024/2</t>
        </is>
      </c>
      <c r="D111" s="7" t="inlineStr">
        <is>
          <t>rechtsleer</t>
        </is>
      </c>
      <c r="E111" s="7" t="inlineStr">
        <is>
          <t>Op welke twee assen moet de zorgplicht van banken jegens derden volgens Heesterbeek en Van der Leeuw worden beoordeeld?</t>
        </is>
      </c>
      <c r="F111" s="7" t="inlineStr">
        <is>
          <t>Op (1) de kenbaarheidsas: wat wist of behoorde de bank te weten over het ongebruikelijke betalingsverkeer en de positie van de derde? En (2) de handelingsas: welke voortvarende maatregelen kon redelijkerwijs van de bank worden gevergd? De twee assen interacteren: hoe hoger de kenbaarheid, hoe zwaarder de handelingsplicht.</t>
        </is>
      </c>
      <c r="G111" s="7" t="inlineStr">
        <is>
          <t>De zorgplicht van banken tegenover derden vergt een gezamenlijke beoordeling van de kenbaarheid van het risico en de handelingsruimte van de bank; hoe hoger de kenbaarheid, des te zwaarder de op de bank rustende handelingsplicht.</t>
        </is>
      </c>
      <c r="H111" s="7" t="inlineStr">
        <is>
          <t>K.W.G. Heesterbeek &amp; F.R.H. van der Leeuw, MvV 2024/2. Praktische toolkit voor de toepassing van Safe Haven en Footlocker. Syllabus p. 135 e.v.</t>
        </is>
      </c>
      <c r="I111" s="7" t="inlineStr">
        <is>
          <t>Heesterbeek &amp; Van der Leeuw, MvV 2024/2, p. 135 e.v.</t>
        </is>
      </c>
      <c r="J111" s="7" t="inlineStr"/>
      <c r="K111" s="7" t="inlineStr"/>
    </row>
    <row r="112" ht="96" customHeight="1">
      <c r="A112" s="7" t="inlineStr">
        <is>
          <t>card_111</t>
        </is>
      </c>
      <c r="B112" s="7" t="inlineStr">
        <is>
          <t>07</t>
        </is>
      </c>
      <c r="C112" s="7" t="inlineStr">
        <is>
          <t>Jansen, Poortwachtersaansprakelijkheid (FR 2024/10)</t>
        </is>
      </c>
      <c r="D112" s="7" t="inlineStr">
        <is>
          <t>rechtsleer</t>
        </is>
      </c>
      <c r="E112" s="7" t="inlineStr">
        <is>
          <t>Waarom pleit Jansen ervoor om de civielrechtelijke zorgplicht en de Wwft-poortwachtersfunctie dogmatisch van elkaar te scheiden?</t>
        </is>
      </c>
      <c r="F112" s="7" t="inlineStr">
        <is>
          <t>De Wwft-normen dienen het publieke belang (bestrijding witwassen en terrorismefinanciering) en strekken niet tot bescherming van de individuele derde (relativiteit). De civielrechtelijke zorgplicht uit Safe Haven en Footlocker rust op de onrechtmatigedaadsnorm en weegt juist de belangen van de concrete derde. Vermenging zou leiden tot of te ruime bancaire aansprakelijkheid (elke Wwft-overtreding aansprakelijkheidsgrond) of te weinig bescherming (alle zorgplichtzaken afhankelijk van Wwft-handhaving).</t>
        </is>
      </c>
      <c r="G112" s="7" t="inlineStr">
        <is>
          <t>De bancaire aansprakelijkheid jegens derden bij misbruik van bankrekeningen moet worden beoordeeld langs de maatstaf van de onrechtmatige daad, niet langs die van de Wwft. De Wwft-poortwachtersfunctie is een publiekrechtelijk instrument met een eigen doel.</t>
        </is>
      </c>
      <c r="H112" s="7" t="inlineStr">
        <is>
          <t>J.W.M. Jansen, 'Poortwachtersaansprakelijkheid. Over bancaire aansprakelijkheid jegens derden bij misbruik van bankrekeningen door cliënten', FR 2024/10. Syllabus p. 157 e.v.</t>
        </is>
      </c>
      <c r="I112" s="7" t="inlineStr">
        <is>
          <t>J.W.M. Jansen, FR 2024/10, p. 157 e.v.</t>
        </is>
      </c>
      <c r="J112" s="7" t="inlineStr"/>
      <c r="K112" s="7" t="inlineStr"/>
    </row>
    <row r="113" ht="96" customHeight="1">
      <c r="A113" s="7" t="inlineStr">
        <is>
          <t>card_112</t>
        </is>
      </c>
      <c r="B113" s="7" t="inlineStr">
        <is>
          <t>07</t>
        </is>
      </c>
      <c r="C113" s="7" t="inlineStr">
        <is>
          <t>Stortelder, FR 2024/5</t>
        </is>
      </c>
      <c r="D113" s="7" t="inlineStr">
        <is>
          <t>rechtsleer</t>
        </is>
      </c>
      <c r="E113" s="7" t="inlineStr">
        <is>
          <t>Wanneer is een bank volgens Stortelder gehouden een betaalopdracht te weigeren bij een vermoeden van fraude?</t>
        </is>
      </c>
      <c r="F113" s="7" t="inlineStr">
        <is>
          <t>De bank is slechts in uitzonderingsgevallen gehouden een betaalopdracht te weigeren: namelijk als de bank een concreet en voldoende gefundeerd vermoeden van fraude heeft en weigering proportioneel is ten opzichte van de rechten van de client. De hoofdregel is betalingsuitvoering (art. 7:528 BW e.v.); weigering is een uitzondering die moet worden gemotiveerd.</t>
        </is>
      </c>
      <c r="G113" s="7" t="inlineStr">
        <is>
          <t>Een bank kan slechts in uitzonderingsgevallen gehouden zijn om een betaalopdracht te weigeren: bij een concreet en voldoende gefundeerd vermoeden van fraude en wanneer weigering proportioneel is.</t>
        </is>
      </c>
      <c r="H113" s="7" t="inlineStr">
        <is>
          <t>A. Stortelder, 'Kan een bank gehouden zijn om betaalopdrachten te weigeren bij een vermoeden van fraude?', FR 2024/5. Relevant voor casus 1 (grond 3: art. 7:528 BW). Syllabus p. 168 e.v.</t>
        </is>
      </c>
      <c r="I113" s="7" t="inlineStr">
        <is>
          <t>A. Stortelder, FR 2024/5, p. 168 e.v.</t>
        </is>
      </c>
      <c r="J113" s="7" t="inlineStr"/>
      <c r="K113" s="7" t="inlineStr"/>
    </row>
    <row r="114" ht="96" customHeight="1">
      <c r="A114" s="7" t="inlineStr">
        <is>
          <t>card_113</t>
        </is>
      </c>
      <c r="B114" s="7" t="inlineStr">
        <is>
          <t>07</t>
        </is>
      </c>
      <c r="C114" s="7" t="inlineStr">
        <is>
          <t>Huiswerkcasus 1 (Fred/Amsterdam Bank)</t>
        </is>
      </c>
      <c r="D114" s="7" t="inlineStr">
        <is>
          <t>casus</t>
        </is>
      </c>
      <c r="E114" s="7" t="inlineStr">
        <is>
          <t>Welke structurele toetsingsvolgorde volg je bij de vier grondslagen in casus 1 (Wwft — Wft — art. 7:528 BW — bancaire zorgplicht)?</t>
        </is>
      </c>
      <c r="F114" s="7" t="inlineStr">
        <is>
          <t>Per grondslag: (1) formuleer de norm en haar strekking; (2) toets de strekking aan de relativiteit (art. 6:163 BW) — Rb. Amsterdam 8 mei 2024 leert dat de Wwft-normen niet tot bescherming tegen fraudeschade strekken; (3) beoordeel of de concrete handelwijze van de bank (niet-opvolgen alert op 8 juni 2022) in strijd is met de norm; (4) bepaal causaal verband en eigen schuld van Fred (cf. Footlocker). De sterkste grondslag is doorgaans de bijzondere bancaire zorgplicht, omdat die wel tot bescherming van de individuele derde strekt.</t>
        </is>
      </c>
      <c r="G114" s="7" t="inlineStr">
        <is>
          <t>Fred en zijn advocaat baseren de claim jegens de Amsterdam Bank op de volgende gronden: (1) primair: schending van artikel 5 Wwft; (2) subsidiair: schending van artikelen 3:10 en 3:17 Wft en 10 en 14 Bpr Wft; (3) meer subsidiair: art. 7:528 BW; (4) nog meer subsidiair: schending van de bancaire zorgplicht.</t>
        </is>
      </c>
      <c r="H114" s="7" t="inlineStr">
        <is>
          <t>Huiswerkcasus 1 — 10 punten, onderverdeeld in vragen A t/m D (elk 2,5 punten). Feitencomplex betreft een door een derde ('Jansen') gemanipuleerde cryptobelegging met EUR 300.000 schade. Syllabus p. 5-6.</t>
        </is>
      </c>
      <c r="I114" s="7" t="inlineStr">
        <is>
          <t>Syllabus module 07, Huiswerkopdracht casus 1</t>
        </is>
      </c>
      <c r="J114" s="7" t="inlineStr"/>
      <c r="K114" s="7" t="inlineStr"/>
    </row>
    <row r="115" ht="96" customHeight="1">
      <c r="A115" s="7" t="inlineStr">
        <is>
          <t>card_114</t>
        </is>
      </c>
      <c r="B115" s="7" t="inlineStr">
        <is>
          <t>07</t>
        </is>
      </c>
      <c r="C115" s="7" t="inlineStr">
        <is>
          <t>Huiswerkcasus 2 (DWM/Boerenleenbank)</t>
        </is>
      </c>
      <c r="D115" s="7" t="inlineStr">
        <is>
          <t>casus</t>
        </is>
      </c>
      <c r="E115" s="7" t="inlineStr">
        <is>
          <t>Welke rechtsregels uit Hof Arnhem-Leeuwarden 2023 en HR 5 september 2025 zijn bepalend voor de beoordeling van de waarschuwingsplicht van de Boerenleenbank jegens DWM?</t>
        </is>
      </c>
      <c r="F115" s="7" t="inlineStr">
        <is>
          <t>De bank moet bij het aangaan van een kredietovereenkomst met een melkveehouder afstemmen of deze de mogelijke productiebeperkende maatregelen en de gevolgen daarvan voor zijn bedrijfsvoering voldoende overziet (Hof Arnhem-Leeuwarden 2023). De reikwijdte wordt bepaald aan de hand van de Promontoria-maatstaf (HR 5 september 2025): kenbaarheid risico, expertise bank, afhankelijkheid client. Beoordeel vervolgens art. 3:52 en 6:89, 6:228 en 6:230 BW voor respectievelijk verjaring, klachtplicht en dwaling.</t>
        </is>
      </c>
      <c r="G115" s="7" t="inlineStr">
        <is>
          <t>Op welke grondslag kan DWM een schadeclaim indienen tegen de Boerenleenbank? Motiveer.</t>
        </is>
      </c>
      <c r="H115" s="7" t="inlineStr">
        <is>
          <t>Huiswerkcasus 2 — 10 punten. Feiten: Boerenleenbank verstrekt EUR 2.000.000 voor uitbreiding melkveebedrijf; twee weken later wordt Europese milieuwetgeving (fosfaat-achtige regelgeving) aangekondigd. Syllabus p. 6-7.</t>
        </is>
      </c>
      <c r="I115" s="7" t="inlineStr">
        <is>
          <t>Syllabus module 07, Huiswerkopdracht casus 2</t>
        </is>
      </c>
      <c r="J115" s="7" t="inlineStr"/>
      <c r="K115" s="7" t="inlineStr"/>
    </row>
    <row r="116" ht="96" customHeight="1">
      <c r="A116" s="8" t="inlineStr">
        <is>
          <t>card_115</t>
        </is>
      </c>
      <c r="B116" s="8" t="inlineStr">
        <is>
          <t>08</t>
        </is>
      </c>
      <c r="C116" s="8" t="inlineStr">
        <is>
          <t>Art. 3:305a lid 1 BW</t>
        </is>
      </c>
      <c r="D116" s="8" t="inlineStr">
        <is>
          <t>wetsartikel</t>
        </is>
      </c>
      <c r="E116" s="8" t="inlineStr">
        <is>
          <t>Welke kerneisen stelt art. 3:305a lid 1 BW aan een collectieve actie?</t>
        </is>
      </c>
      <c r="F116" s="8" t="inlineStr">
        <is>
          <t>De vordering moet strekken tot bescherming van gelijksoortige belangen (gelijksoortigheidsvereiste), de rechtspersoon moet die belangen volgens haar statuten behartigen (statutenvereiste) en die belangen moeten voldoende zijn gewaarborgd (waarborgvereiste).</t>
        </is>
      </c>
      <c r="G116" s="8" t="inlineStr">
        <is>
          <t>Een stichting of vereniging met volledige rechtsbevoegdheid kan een rechtsvordering instellen die strekt tot bescherming van gelijksoortige belangen van andere personen, voor zover zij deze belangen ingevolge haar statuten behartigt en deze belangen voldoende zijn gewaarborgd.</t>
        </is>
      </c>
      <c r="H116" s="8" t="inlineStr">
        <is>
          <t>Kernbepaling voor de collectieve actie. Het waarborgvereiste is onder de WAMCA nader uitgewerkt in lid 2 (representativiteit + a t/m e). Zie Rb. Amsterdam 13 juli 2022 (FNV &amp; CNV/Temper), rov. 4.9.</t>
        </is>
      </c>
      <c r="I116" s="8" t="inlineStr">
        <is>
          <t>Art. 3:305a lid 1 BW</t>
        </is>
      </c>
      <c r="J116" s="8" t="inlineStr"/>
      <c r="K116" s="8" t="inlineStr"/>
    </row>
    <row r="117" ht="96" customHeight="1">
      <c r="A117" s="8" t="inlineStr">
        <is>
          <t>card_116</t>
        </is>
      </c>
      <c r="B117" s="8" t="inlineStr">
        <is>
          <t>08</t>
        </is>
      </c>
      <c r="C117" s="8" t="inlineStr">
        <is>
          <t>Art. 3:305a lid 2 BW (WAMCA)</t>
        </is>
      </c>
      <c r="D117" s="8" t="inlineStr">
        <is>
          <t>wetsartikel</t>
        </is>
      </c>
      <c r="E117" s="8" t="inlineStr">
        <is>
          <t>Welke vijf nadere eisen stelt art. 3:305a lid 2 BW aan een belangenorganisatie onder de WAMCA?</t>
        </is>
      </c>
      <c r="F117" s="8" t="inlineStr">
        <is>
          <t>(a) toezichthoudend orgaan, (b) passende mechanismen voor deelname en vertegenwoordiging van de achterban, (c) voldoende middelen om de kosten te dragen en zeggenschap over de procedure, (d) openbare website met voorgeschreven informatie, (e) ervaring en deskundigheid ten aanzien van het instellen en voeren van collectieve acties. Daarnaast moet de organisatie voldoende representatief zijn.</t>
        </is>
      </c>
      <c r="G117" s="8" t="inlineStr">
        <is>
          <t>De belangen van de personen tot bescherming van wier belangen de rechtsvordering strekt, zijn voldoende gewaarborgd indien de rechtspersoon voldoende representatief is, gelet op de achterban en de omvang van de vertegenwoordigde vorderingen, en voldoet aan het bepaalde onder a tot en met e.</t>
        </is>
      </c>
      <c r="H117" s="8" t="inlineStr">
        <is>
          <t>Het waarborg-/representativiteitsvereiste is de kern van de ontvankelijkheidsfilter onder de WAMCA. Zie PHR De Bock (Oracle/Salesforce) voor de toepassing in de praktijk.</t>
        </is>
      </c>
      <c r="I117" s="8" t="inlineStr">
        <is>
          <t>Art. 3:305a lid 2 BW</t>
        </is>
      </c>
      <c r="J117" s="8" t="inlineStr"/>
      <c r="K117" s="8" t="inlineStr"/>
    </row>
    <row r="118" ht="96" customHeight="1">
      <c r="A118" s="8" t="inlineStr">
        <is>
          <t>card_117</t>
        </is>
      </c>
      <c r="B118" s="8" t="inlineStr">
        <is>
          <t>08</t>
        </is>
      </c>
      <c r="C118" s="8" t="inlineStr">
        <is>
          <t>Art. 3:305a lid 6 BW (licht regime)</t>
        </is>
      </c>
      <c r="D118" s="8" t="inlineStr">
        <is>
          <t>wetsartikel</t>
        </is>
      </c>
      <c r="E118" s="8" t="inlineStr">
        <is>
          <t>Wanneer kan een belangenorganisatie worden ontvangen onder het 'lichte regime' van art. 3:305a lid 6 BW?</t>
        </is>
      </c>
      <c r="F118" s="8" t="inlineStr">
        <is>
          <t>Als de rechtsvordering (i) wordt ingesteld met een ideëel doel en een zeer beperkt financieel belang, of (ii) de aard van de vordering of de achterban daartoe aanleiding geeft. De organisatie hoeft dan niet aan alle eisen van lid 2 a–e en lid 5 te voldoen, maar moet wél aan het representativiteitsvereiste van lid 2 aanhef voldoen.</t>
        </is>
      </c>
      <c r="G118" s="8" t="inlineStr">
        <is>
          <t>De rechter kan een rechtspersoon ontvankelijk verklaren zonder dat aan de eisen van leden 2 onder a tot en met e en 5 behoeft te worden voldaan, wanneer de rechtsvordering wordt ingesteld (i) met een ideëel doel en een zeer beperkt financieel belang of (ii) wanneer de aard van de vordering van de rechtspersoon of van de personen tot bescherming van wier belangen de rechtsvordering strekt, daartoe aanleiding geeft.</t>
        </is>
      </c>
      <c r="H118" s="8" t="inlineStr">
        <is>
          <t>Het lichte regime is bedoeld voor vakbonden, consumentenorganisaties en ideële stichtingen. Zie FNV &amp; CNV/Temper (Rb. Amsterdam 13 juli 2022) rov. 4.10.</t>
        </is>
      </c>
      <c r="I118" s="8" t="inlineStr">
        <is>
          <t>Art. 3:305a lid 6 BW</t>
        </is>
      </c>
      <c r="J118" s="8" t="inlineStr"/>
      <c r="K118" s="8" t="inlineStr"/>
    </row>
    <row r="119" ht="96" customHeight="1">
      <c r="A119" s="8" t="inlineStr">
        <is>
          <t>card_118</t>
        </is>
      </c>
      <c r="B119" s="8" t="inlineStr">
        <is>
          <t>08</t>
        </is>
      </c>
      <c r="C119" s="8" t="inlineStr">
        <is>
          <t>Art. 1018d Rv (exclusieve belangenbehartiger)</t>
        </is>
      </c>
      <c r="D119" s="8" t="inlineStr">
        <is>
          <t>wetsartikel</t>
        </is>
      </c>
      <c r="E119" s="8" t="inlineStr">
        <is>
          <t>Wat regelt art. 1018d Rv bij concurrerende collectieve vorderingen?</t>
        </is>
      </c>
      <c r="F119" s="8" t="inlineStr">
        <is>
          <t>Bij meerdere collectieve vorderingen over dezelfde gebeurtenis(sen) en gelijksoortige feitelijke en rechtsvragen wordt één exclusieve belangenbehartiger aangewezen. Lid 2 geeft andere organisaties een verlengingsmogelijkheid om hun vordering binnen het register in te schuiven; HR Apple 2025 heeft deze mogelijkheid uitgelegd als open voor alle belangenorganisaties, niet alleen de verzoekende partij.</t>
        </is>
      </c>
      <c r="G119" s="8" t="inlineStr">
        <is>
          <t>Eén exclusieve belangenbehartiger wordt aangewezen. De rechter kan de termijn van artikel 1018c lid 1 verlengen met drie maanden, zo nodig op verzoek van een belangenorganisatie die nog geen rechtsvordering heeft ingesteld maar daartoe wel voornemens is.</t>
        </is>
      </c>
      <c r="H119" s="8" t="inlineStr">
        <is>
          <t>Kernbepaling van de WAMCA-procedure. Leidt tot 'race naar de rechtbank' bij massaschadezaken. Zie HR 14 maart 2025 (Apple) voor uitleg termijnverlenging.</t>
        </is>
      </c>
      <c r="I119" s="8" t="inlineStr">
        <is>
          <t>Art. 1018d Rv</t>
        </is>
      </c>
      <c r="J119" s="8" t="inlineStr"/>
      <c r="K119" s="8" t="inlineStr"/>
    </row>
    <row r="120" ht="96" customHeight="1">
      <c r="A120" s="8" t="inlineStr">
        <is>
          <t>card_119</t>
        </is>
      </c>
      <c r="B120" s="8" t="inlineStr">
        <is>
          <t>08</t>
        </is>
      </c>
      <c r="C120" s="8" t="inlineStr">
        <is>
          <t>Art. 3:303 BW (voldoende belang)</t>
        </is>
      </c>
      <c r="D120" s="8" t="inlineStr">
        <is>
          <t>wetsartikel</t>
        </is>
      </c>
      <c r="E120" s="8" t="inlineStr">
        <is>
          <t>Kan een collectieve actie slagen zonder voldoende belang in de zin van art. 3:303 BW?</t>
        </is>
      </c>
      <c r="F120" s="8" t="inlineStr">
        <is>
          <t>Nee. Ook onder de WAMCA geldt het belang-vereiste. Een enkele vordering tot algemene normstelling, zonder concrete gevolgen voor de partijen, vormt geen belang in de zin van art. 3:303 BW en valt buiten het bereik van de civiele procedure.</t>
        </is>
      </c>
      <c r="G120" s="8" t="inlineStr">
        <is>
          <t>Zonder voldoende belang komt niemand een rechtsvordering toe.</t>
        </is>
      </c>
      <c r="H120" s="8" t="inlineStr">
        <is>
          <t>Toegepast in Rb. Amsterdam 9 juli 2025 (Farma ter Verantwoording/AbbVie): niet-ontvankelijkverklaring wegens ontbreken belang art. 3:303 BW bij vordering tot verklaring voor recht over prijsstelling.</t>
        </is>
      </c>
      <c r="I120" s="8" t="inlineStr">
        <is>
          <t>Art. 3:303 BW</t>
        </is>
      </c>
      <c r="J120" s="8" t="inlineStr"/>
      <c r="K120" s="8" t="inlineStr"/>
    </row>
    <row r="121" ht="96" customHeight="1">
      <c r="A121" s="8" t="inlineStr">
        <is>
          <t>card_120</t>
        </is>
      </c>
      <c r="B121" s="8" t="inlineStr">
        <is>
          <t>08</t>
        </is>
      </c>
      <c r="C121" s="8" t="inlineStr">
        <is>
          <t>WCAM (Wet collectieve afwikkeling massaschade)</t>
        </is>
      </c>
      <c r="D121" s="8" t="inlineStr">
        <is>
          <t>wetsartikel</t>
        </is>
      </c>
      <c r="E121" s="8" t="inlineStr">
        <is>
          <t>Wat is de kern van de WCAM en hoe verhoudt zij zich tot de WAMCA?</t>
        </is>
      </c>
      <c r="F121" s="8" t="inlineStr">
        <is>
          <t>De WCAM (2005) biedt een procedure waarin partijen bij een schikkingsovereenkomst de rechter kunnen verzoeken die schikking verbindend te verklaren voor alle benadeelden (opt-out). De WAMCA (2020) voegt daaraan een volledige collectieve schadevergoedingsprocedure toe — een dagvaardingsprocedure waarin de rechter zelf over de aansprakelijkheid en schade oordeelt.</t>
        </is>
      </c>
      <c r="G121" s="8" t="inlineStr">
        <is>
          <t>De WCAM biedt een verbindendverklaring van een schikkingsovereenkomst; de WAMCA voegt een collectieve schadevergoedingsactie toe.</t>
        </is>
      </c>
      <c r="H121" s="8" t="inlineStr">
        <is>
          <t>Belangrijk voor vraag 1 van de huiswerkopdracht (hoeveel wettelijke regelingen). Naast WCAM en WAMCA bestaan sectorale regelingen (CAO-recht, algemene voorwaarden, antidiscriminatie).</t>
        </is>
      </c>
      <c r="I121" s="8" t="inlineStr">
        <is>
          <t>Art. 7:907 e.v. BW (WCAM); art. 3:305a BW en 1018c-1018o Rv (WAMCA)</t>
        </is>
      </c>
      <c r="J121" s="8" t="inlineStr"/>
      <c r="K121" s="8" t="inlineStr"/>
    </row>
    <row r="122" ht="96" customHeight="1">
      <c r="A122" s="8" t="inlineStr">
        <is>
          <t>card_121</t>
        </is>
      </c>
      <c r="B122" s="8" t="inlineStr">
        <is>
          <t>08</t>
        </is>
      </c>
      <c r="C122" s="8" t="inlineStr">
        <is>
          <t>WAMCA</t>
        </is>
      </c>
      <c r="D122" s="8" t="inlineStr">
        <is>
          <t>rechtsleer</t>
        </is>
      </c>
      <c r="E122" s="8" t="inlineStr">
        <is>
          <t>Welke vier hoofdkenmerken heeft de WAMCA-procedure?</t>
        </is>
      </c>
      <c r="F122" s="8" t="inlineStr">
        <is>
          <t>(1) Centraal register van collectieve vorderingen (art. 3:305a lid 7 BW), (2) aanwijzing van één exclusieve belangenbehartiger (art. 1018e Rv), (3) opt-out voor Nederlandse benadeelden, opt-in voor buitenlandse benadeelden (art. 1018f Rv), (4) verzwaarde ontvankelijkheidseisen (representativiteit, governance, transparantie, deskundigheid, financiering) in art. 3:305a lid 2 BW.</t>
        </is>
      </c>
      <c r="G122" s="8" t="inlineStr">
        <is>
          <t>De WAMCA introduceert een exclusieve belangenbehartiger, een centraal register, verzwaarde ontvankelijkheidsvereisten en een opt-out/opt-in systeem voor de achterban.</t>
        </is>
      </c>
      <c r="H122" s="8" t="inlineStr">
        <is>
          <t>Per 1 januari 2020 in werking. Geldt voor gebeurtenissen op of na 15 november 2016 (overgangsrecht, zie PHR Snijders/Stellantis).</t>
        </is>
      </c>
      <c r="I122" s="8" t="inlineStr">
        <is>
          <t>Wet afwikkeling massaschade in collectieve actie, Stb. 2019/447</t>
        </is>
      </c>
      <c r="J122" s="8" t="inlineStr"/>
      <c r="K122" s="8" t="inlineStr"/>
    </row>
    <row r="123" ht="96" customHeight="1">
      <c r="A123" s="8" t="inlineStr">
        <is>
          <t>card_122</t>
        </is>
      </c>
      <c r="B123" s="8" t="inlineStr">
        <is>
          <t>08</t>
        </is>
      </c>
      <c r="C123" s="8" t="inlineStr">
        <is>
          <t>PHR Snijders (Stellantis, 2026)</t>
        </is>
      </c>
      <c r="D123" s="8" t="inlineStr">
        <is>
          <t>arrest</t>
        </is>
      </c>
      <c r="E123" s="8" t="inlineStr">
        <is>
          <t>Welke maatstaf stelt A-G Snijders in Stellantis voor de toepasselijkheid van de WAMCA bij collectieve vorderingen met buitenlandse gedaagden?</t>
        </is>
      </c>
      <c r="F123" s="8" t="inlineStr">
        <is>
          <t>De A-G stelt een gebeurtenis-plus-plaats-maatstaf voor: de WAMCA is toepasselijk op vorderingen die (a) betrekking hebben op een gebeurtenis of gebeurtenissen die geheel of gedeeltelijk in Nederland hebben plaatsgevonden, én (b) strekken tot bescherming van in Nederland gevestigde of door Nederland gekoppelde benadeelden. Overgangsrechtelijk geldt de WAMCA voor gebeurtenissen op of na 15 november 2016.</t>
        </is>
      </c>
      <c r="G123" s="8" t="inlineStr">
        <is>
          <t>Procesrecht. IPR. Collectieve actie o.g.v. art. 3:305a (oud) BW en de WAMCA. Bevoegdheid Nederlandse rechter en rechtbank Amsterdam o.g.v. art. 8 aanhef en onder 1 dan wel art. 7 aanhef en onder 2 Brussel I-bis om kennis te nemen van collectieve vordering (mede) tegen buitenlandse gedaagde. Overgangsrecht WAMCA.</t>
        </is>
      </c>
      <c r="H123" s="8" t="inlineStr">
        <is>
          <t>Centraal voor vraag 2 van de huiswerkopdracht. Het rechtsbeginsel is effectieve rechtsbescherming (toegang tot de rechter); tegenover rechtszekerheid van buitenlandse gedaagden. Syllabus p. 107 e.v.</t>
        </is>
      </c>
      <c r="I123" s="8" t="inlineStr">
        <is>
          <t>PHR 6 maart 2026, ECLI:NL:PHR:2026:224 (Stellantis)</t>
        </is>
      </c>
      <c r="J123" s="8" t="inlineStr"/>
      <c r="K123" s="8" t="inlineStr"/>
    </row>
    <row r="124" ht="96" customHeight="1">
      <c r="A124" s="8" t="inlineStr">
        <is>
          <t>card_123</t>
        </is>
      </c>
      <c r="B124" s="8" t="inlineStr">
        <is>
          <t>08</t>
        </is>
      </c>
      <c r="C124" s="8" t="inlineStr">
        <is>
          <t>PHR De Bock (Oracle/Salesforce, 2026)</t>
        </is>
      </c>
      <c r="D124" s="8" t="inlineStr">
        <is>
          <t>arrest</t>
        </is>
      </c>
      <c r="E124" s="8" t="inlineStr">
        <is>
          <t>Welke zeven aspecten analyseert A-G De Bock in de conclusie Oracle/Salesforce met betrekking tot het ontvankelijkheidsvereiste onder de WAMCA?</t>
        </is>
      </c>
      <c r="F124" s="8" t="inlineStr">
        <is>
          <t>(1) Moment voor toetsing van de ontvankelijkheid, (2) representativiteitsvereiste, (3) gelijksoortigheidsvereiste, (4) feitelijke belangenbehartiging, (5) governance en transparantie, (6) mechanismen voor deelname en vertegenwoordiging, (7) summierlijke ondeugdelijkheid. Plus de verhouding tot art. 80 AVG en het terugwijsverbod in WAMCA-procedures.</t>
        </is>
      </c>
      <c r="G124" s="8" t="inlineStr">
        <is>
          <t>Collectieve actie The Privacy Collective tegen Oracle en Salesforce. WAMCA. Ontvankelijkheidsvereisten belangenorganisatie. Moment voor toetsing van de ontvankelijkheid, representativiteitsvereiste, gelijksoortigheidsvereiste, feitelijke belangenbehartiging, governance en transparantie, mechanismen voor deelname en vertegenwoordiging, summierlijke ondeugdelijkheid, verhouding tot art. 80 AVG en het terugwijsverbod in WAMCA-procedures.</t>
        </is>
      </c>
      <c r="H124" s="8" t="inlineStr">
        <is>
          <t>Uitgangspunt voor vraag 3 van de huiswerkopdracht. Gaat over de zeer moeilijke toetsing van commerciële claimstichtingen aan het representativiteitsvereiste. Syllabus p. 200 e.v.</t>
        </is>
      </c>
      <c r="I124" s="8" t="inlineStr">
        <is>
          <t>PHR 30 januari 2026, ECLI:NL:PHR:2026:129 (Oracle/Salesforce)</t>
        </is>
      </c>
      <c r="J124" s="8" t="inlineStr"/>
      <c r="K124" s="8" t="inlineStr"/>
    </row>
    <row r="125" ht="96" customHeight="1">
      <c r="A125" s="8" t="inlineStr">
        <is>
          <t>card_124</t>
        </is>
      </c>
      <c r="B125" s="8" t="inlineStr">
        <is>
          <t>08</t>
        </is>
      </c>
      <c r="C125" s="8" t="inlineStr">
        <is>
          <t>HR Apple (2025)</t>
        </is>
      </c>
      <c r="D125" s="8" t="inlineStr">
        <is>
          <t>arrest</t>
        </is>
      </c>
      <c r="E125" s="8" t="inlineStr">
        <is>
          <t>Welke twee hoofdvragen beantwoordde de Hoge Raad in HR 14 maart 2025 (Apple) over art. 1018d Rv?</t>
        </is>
      </c>
      <c r="F125" s="8" t="inlineStr">
        <is>
          <t>(1) Is sprake van een collectieve vordering voor dezelfde gebeurtenis(sen) en over gelijksoortige feitelijke en rechtsvragen als bedoeld in art. 1018d lid 1 Rv? Uitleg: het criterium ziet op een ruimere groep zaken dan strikt dezelfde oorzaak. (2) Geldt termijnverlenging van art. 1018d lid 2 Rv alleen voor de partij die daarom heeft verzocht? Uitleg: de verlenging komt alle belangenorganisaties ten goede; de wetgever beoogde coördinatie van parallelle vorderingen.</t>
        </is>
      </c>
      <c r="G125" s="8" t="inlineStr">
        <is>
          <t>Procesrecht. Sprongcassatie. Wet afwikkeling massaschade in collectieve actie (WAMCA). Ontvankelijkheidseisen. Is sprake van een collectieve vordering voor dezelfde gebeurtenis(sen) en over gelijksoortige feitelijke en rechtsvragen als bedoeld in art. 1018d lid 1 Rv? Geldt termijnverlenging o.g.v. art. 1018d lid 2 Rv alleen voor de partij die daarom heeft verzocht?</t>
        </is>
      </c>
      <c r="H125" s="8" t="inlineStr">
        <is>
          <t>Eerste HR-arrest dat art. 1018d Rv uitlegt. Noot A. Knigge en E.M. Hoogervorst in JBPr 2025/38. Syllabus p. 285 e.v.</t>
        </is>
      </c>
      <c r="I125" s="8" t="inlineStr">
        <is>
          <t>HR 14 maart 2025, ECLI:NL:HR:2025:388 (Apple / Stichting Consumenten Competition Claims)</t>
        </is>
      </c>
      <c r="J125" s="8" t="inlineStr"/>
      <c r="K125" s="8" t="inlineStr"/>
    </row>
    <row r="126" ht="96" customHeight="1">
      <c r="A126" s="8" t="inlineStr">
        <is>
          <t>card_125</t>
        </is>
      </c>
      <c r="B126" s="8" t="inlineStr">
        <is>
          <t>08</t>
        </is>
      </c>
      <c r="C126" s="8" t="inlineStr">
        <is>
          <t>Rb. Amsterdam FNV &amp; CNV/Temper (2022)</t>
        </is>
      </c>
      <c r="D126" s="8" t="inlineStr">
        <is>
          <t>arrest</t>
        </is>
      </c>
      <c r="E126" s="8" t="inlineStr">
        <is>
          <t>Kunnen traditionele vakbonden FNV en CNV onder de WAMCA nog een collectieve actie instellen, of stuit dat af op de verzwaarde ontvankelijkheidseisen?</t>
        </is>
      </c>
      <c r="F126" s="8" t="inlineStr">
        <is>
          <t>Ja, zij kunnen een collectieve actie instellen. De wetgever heeft met de aangescherpte ontvankelijkheidseisen beoogd ad-hoc en commerciële organisaties te filteren, maar uitdrukkelijk géén wijziging aangebracht voor bestaande belangenbehartigers die reeds een lange staat van dienst hebben (zoals FNV en CNV). Voor ideële organisaties blijft het representativiteitsvereiste gelden; de overige vereisten van lid 2 sub a–e kunnen op de lichte voet worden getoetst.</t>
        </is>
      </c>
      <c r="G126" s="8" t="inlineStr">
        <is>
          <t>Alleen al in dit perspectief bezien ligt het niet in de rede dat FNV en CNV onder de WAMCA geen collectieve actie meer zouden kunnen instellen, waar zij dat — onbetwist — voorheen wel steeds konden.</t>
        </is>
      </c>
      <c r="H126" s="8" t="inlineStr">
        <is>
          <t>Leading case voor het onderscheid tussen commerciële claimstichtingen en traditionele belangenbehartigers. Noot Schutgens &amp; Sillen in NTBR 2023/26. Syllabus p. 293 e.v.</t>
        </is>
      </c>
      <c r="I126" s="8" t="inlineStr">
        <is>
          <t>Rb. Amsterdam 13 juli 2022, ECLI:NL:RBAMS:2022:4035 (FNV &amp; CNV/Temper)</t>
        </is>
      </c>
      <c r="J126" s="8" t="inlineStr"/>
      <c r="K126" s="8" t="inlineStr"/>
    </row>
    <row r="127" ht="96" customHeight="1">
      <c r="A127" s="8" t="inlineStr">
        <is>
          <t>card_126</t>
        </is>
      </c>
      <c r="B127" s="8" t="inlineStr">
        <is>
          <t>08</t>
        </is>
      </c>
      <c r="C127" s="8" t="inlineStr">
        <is>
          <t>Rb. Amsterdam AbbVie/Humira (2025)</t>
        </is>
      </c>
      <c r="D127" s="8" t="inlineStr">
        <is>
          <t>arrest</t>
        </is>
      </c>
      <c r="E127" s="8" t="inlineStr">
        <is>
          <t>Waarom verklaarde de rechtbank Amsterdam de Stichting Farma ter Verantwoording niet-ontvankelijk in haar vordering tegen AbbVie over de prijs van Humira?</t>
        </is>
      </c>
      <c r="F127" s="8" t="inlineStr">
        <is>
          <t>De stichting vorderde een verklaring voor recht dat AbbVie onrechtmatig had gehandeld door een excessieve prijs voor Humira te rekenen. De rechtbank oordeelde dat het verkrijgen van algemene normen voor toekomstige gevallen — zonder concrete gevolgen voor de partijen in de procedure — geen belang is in de zin van art. 3:303 BW en buiten het bereik van de civiele procedure valt. Collectieve acties vergen altijd een concrete schade- of rechtspositie.</t>
        </is>
      </c>
      <c r="G127" s="8" t="inlineStr">
        <is>
          <t>Het verkrijgen van algemene normen, die in toekomstige gevallen voor een geneesmiddelenfabrikant gelden bij het bepalen van de prijs, zonder dat die normen concrete gevolgen hebben voor de partijen in de procedure, vormt niet een belang als bedoeld in artikel 3:303 BW en valt buiten het bereik van de civiele procedure.</t>
        </is>
      </c>
      <c r="H127" s="8" t="inlineStr">
        <is>
          <t>Belangrijke begrenzing van de collectieve actie: geen instrument voor abstracte rechtsontwikkeling. Noot S.T. Pennink in JOR 2025/227. Syllabus p. 311 e.v.</t>
        </is>
      </c>
      <c r="I127" s="8" t="inlineStr">
        <is>
          <t>Rb. Amsterdam 9 juli 2025, ECLI:NL:RBAMS:2025:4738 (Farma ter Verantwoording/AbbVie)</t>
        </is>
      </c>
      <c r="J127" s="8" t="inlineStr"/>
      <c r="K127" s="8" t="inlineStr"/>
    </row>
    <row r="128" ht="96" customHeight="1">
      <c r="A128" s="8" t="inlineStr">
        <is>
          <t>card_127</t>
        </is>
      </c>
      <c r="B128" s="8" t="inlineStr">
        <is>
          <t>08</t>
        </is>
      </c>
      <c r="C128" s="8" t="inlineStr">
        <is>
          <t>Rb. Amsterdam SDBN/Twitter (2026)</t>
        </is>
      </c>
      <c r="D128" s="8" t="inlineStr">
        <is>
          <t>arrest</t>
        </is>
      </c>
      <c r="E128" s="8" t="inlineStr">
        <is>
          <t>Welke ontvankelijkheidsvragen staan centraal in de WAMCA-procedure van SDBN tegen Twitter (X Corp)?</t>
        </is>
      </c>
      <c r="F128" s="8" t="inlineStr">
        <is>
          <t>Representativiteit en gelijksoortigheid. De stichting behartigt de belangen van gebruikers wier persoonsgegevens via gratis mobiele apps zijn verzameld en gedeeld met derden. De rechtbank overweegt aanhouding in afwachting van prejudiciële vragen aan het HvJ EU over de verhouding tussen art. 3:305a BW en art. 80 AVG (kan een belangenorganisatie AVG-vorderingen collectief instellen zonder individueel mandaat?).</t>
        </is>
      </c>
      <c r="G128" s="8" t="inlineStr">
        <is>
          <t>WAMCA-zaak. Volgens de belangenorganisatie heeft X Corp c.s. (Twitter) persoonsgegevens verzameld via gratis mobiele apps en deze gegevens vervolgens gedeeld met derden. Ontvankelijkheidsvereisten; representativiteit; gelijksoortigheid. Mogelijk aanhouding in verband met prejudiciële vragen over art. 80 AVG.</t>
        </is>
      </c>
      <c r="H128" s="8" t="inlineStr">
        <is>
          <t>Kernuitspraak voor vraag 3 van de huiswerkopdracht (hoger beroep in Twitter-zaak). De procedure loopt parallel aan Oracle/Salesforce. Syllabus p. 319 e.v.</t>
        </is>
      </c>
      <c r="I128" s="8" t="inlineStr">
        <is>
          <t>Rb. Amsterdam 4 februari 2026, ECLI:NL:RBAMS:2026:1555 (SDBN/Twitter)</t>
        </is>
      </c>
      <c r="J128" s="8" t="inlineStr"/>
      <c r="K128" s="8" t="inlineStr"/>
    </row>
    <row r="129" ht="96" customHeight="1">
      <c r="A129" s="8" t="inlineStr">
        <is>
          <t>card_128</t>
        </is>
      </c>
      <c r="B129" s="8" t="inlineStr">
        <is>
          <t>08</t>
        </is>
      </c>
      <c r="C129" s="8" t="inlineStr">
        <is>
          <t>Hof Den Haag Airbus (2025)</t>
        </is>
      </c>
      <c r="D129" s="8" t="inlineStr">
        <is>
          <t>arrest</t>
        </is>
      </c>
      <c r="E129" s="8" t="inlineStr">
        <is>
          <t>Welke ontvankelijkheidseisen kregen in Hof Den Haag 23 december 2025 (Airbus) expliciete aandacht?</t>
        </is>
      </c>
      <c r="F129" s="8" t="inlineStr">
        <is>
          <t>Internationale bevoegdheid, overgangsrecht WAMCA, toetsing ex tunc/nunc van de ontvankelijkheid, waarborgvereiste, zeggenschap over de procedure en conformiteit aan de Claimcode. De rechtbank had zich onbevoegd verklaard ten aanzien van de CFO's en de claimstichting voor het overige niet-ontvankelijk verklaard; het hof komt tot hetzelfde oordeel.</t>
        </is>
      </c>
      <c r="G129" s="8" t="inlineStr">
        <is>
          <t>Collectieve actie (artikel 3:305a BW) van claimstichting namens beleggers tegen Airbus en haar (voormalige) bestuurders, CFO's en accountant. (...) Vragen over: internationale bevoegdheid, overgangsrecht WAMCA, toetsing ex tunc/nunc, waarborgvereiste, zeggenschap en Claimcode.</t>
        </is>
      </c>
      <c r="H129" s="8" t="inlineStr">
        <is>
          <t>Illustreert de cumulatieve ontvankelijkheidsdrempel voor claimstichtingen in beleggersprocedures. Syllabus p. 337 e.v.</t>
        </is>
      </c>
      <c r="I129" s="8" t="inlineStr">
        <is>
          <t>Hof Den Haag 23 december 2025, ECLI:NL:GHDHA:2025:2738 (Airbus)</t>
        </is>
      </c>
      <c r="J129" s="8" t="inlineStr"/>
      <c r="K129" s="8" t="inlineStr"/>
    </row>
    <row r="130" ht="96" customHeight="1">
      <c r="A130" s="8" t="inlineStr">
        <is>
          <t>card_129</t>
        </is>
      </c>
      <c r="B130" s="8" t="inlineStr">
        <is>
          <t>08</t>
        </is>
      </c>
      <c r="C130" s="8" t="inlineStr">
        <is>
          <t>Bauw, Handboek Massaschade (2025) hfd 1</t>
        </is>
      </c>
      <c r="D130" s="8" t="inlineStr">
        <is>
          <t>rechtsleer</t>
        </is>
      </c>
      <c r="E130" s="8" t="inlineStr">
        <is>
          <t>Welke vier fasen onderscheidt Bauw in de ontwikkeling van het collectieve actierecht in Nederland?</t>
        </is>
      </c>
      <c r="F130" s="8" t="inlineStr">
        <is>
          <t>(1) Vóór de codificatie (tot eind jaren zeventig): geen algemene bevoegdheid; (2) codificatie (1994: art. 3:305a BW): algemene actie mogelijk voor stichtingen/verenigingen; (3) WCAM (2005): verbindendverklaring van massaschikkingen met opt-out; (4) WAMCA (2020): volledige collectieve schadevergoedingsactie met verzwaarde ontvankelijkheidseisen en exclusieve belangenbehartiger. Vooruitblik: Europese ontwikkelingen via de Richtlijn Representatieve Vorderingen (RRV).</t>
        </is>
      </c>
      <c r="G130" s="8" t="inlineStr">
        <is>
          <t>Het collectieve actierecht in wording — codificatie — ontwikkeling na codificatie — naar collectief schadeverhaal — de Wet collectieve afwikkeling massaschade — tussen WCAM en WAMCA — de aanloop naar de WAMCA — ondertussen in Brussel: Europese ontwikkelingen — de WAMCA, kenmerken en hoofdlijnen — tot slot: een blik vooruit.</t>
        </is>
      </c>
      <c r="H130" s="8" t="inlineStr">
        <is>
          <t>E. Bauw, 'Collectieve actie en massageschillen, een inleiding', in W.H. van Boom e.a., Handboek Massaschade, Wolters Kluwer 2025. Syllabus p. 2 e.v.</t>
        </is>
      </c>
      <c r="I130" s="8" t="inlineStr">
        <is>
          <t>Bauw, Handboek Massaschade 2025, hfd 1</t>
        </is>
      </c>
      <c r="J130" s="8" t="inlineStr"/>
      <c r="K130" s="8" t="inlineStr"/>
    </row>
    <row r="131" ht="96" customHeight="1">
      <c r="A131" s="8" t="inlineStr">
        <is>
          <t>card_130</t>
        </is>
      </c>
      <c r="B131" s="8" t="inlineStr">
        <is>
          <t>08</t>
        </is>
      </c>
      <c r="C131" s="8" t="inlineStr">
        <is>
          <t>De Monchy-Jansen &amp; Rutten (2025)</t>
        </is>
      </c>
      <c r="D131" s="8" t="inlineStr">
        <is>
          <t>rechtsleer</t>
        </is>
      </c>
      <c r="E131" s="8" t="inlineStr">
        <is>
          <t>Welke alternatieve mechanismen voor massaschadegeschillen onderscheiden De Monchy-Jansen en Rutten naast de WAMCA?</t>
        </is>
      </c>
      <c r="F131" s="8" t="inlineStr">
        <is>
          <t>(1) De WCAM-schikking (art. 7:907 BW); (2) bindend advies (bijvoorbeeld via Kifid); (3) arbitrage; (4) gebundelde individuele procedures met procesvolmachten; (5) sectorale geschilbeslechting (Geschillencommissies); (6) grensoverschrijdende schikkingsprocedures naar de richtlijn RAD/RRV. Elk mechanisme heeft eigen voor- en nadelen qua opt-out, kostenregiem en representativiteit.</t>
        </is>
      </c>
      <c r="G131" s="8" t="inlineStr">
        <is>
          <t>Naast de WAMCA bieden de WCAM, bindend advies, arbitrage, gebundelde individuele procedures en sectorale geschilbeslechting alternatieve routes voor massaschadegeschillen.</t>
        </is>
      </c>
      <c r="H131" s="8" t="inlineStr">
        <is>
          <t>M.V.V.E. de Monchy-Jansen &amp; K. Rutten, 'Andere mechanismen voor massaschadegeschillen dan de WAMCA', in Handboek Massaschade, Wolters Kluwer 2025. Syllabus p. 18 e.v.</t>
        </is>
      </c>
      <c r="I131" s="8" t="inlineStr">
        <is>
          <t>De Monchy-Jansen &amp; Rutten, Handboek Massaschade 2025</t>
        </is>
      </c>
      <c r="J131" s="8" t="inlineStr"/>
      <c r="K131" s="8" t="inlineStr"/>
    </row>
    <row r="132" ht="96" customHeight="1">
      <c r="A132" s="8" t="inlineStr">
        <is>
          <t>card_131</t>
        </is>
      </c>
      <c r="B132" s="8" t="inlineStr">
        <is>
          <t>08</t>
        </is>
      </c>
      <c r="C132" s="8" t="inlineStr">
        <is>
          <t>Michiels &amp; Philips-Santman (2025)</t>
        </is>
      </c>
      <c r="D132" s="8" t="inlineStr">
        <is>
          <t>rechtsleer</t>
        </is>
      </c>
      <c r="E132" s="8" t="inlineStr">
        <is>
          <t>Welke juridische en ethische vragen roept third-party funding in collectieve schadevergoedingsacties op?</t>
        </is>
      </c>
      <c r="F132" s="8" t="inlineStr">
        <is>
          <t>(1) Zeggenschap over de procedure (art. 3:305a lid 2 sub c BW): de belangenorganisatie moet zelfstandig besluiten kunnen nemen, ondanks financiering door een procesfinancier; (2) transparantie over de financieringsovereenkomst; (3) verhouding van de vergoeding voor de procesfinancier tot de uitkering aan gedupeerden (redelijkheidstoets); (4) conflicts of interest en de Claimcode 2019.</t>
        </is>
      </c>
      <c r="G132" s="8" t="inlineStr">
        <is>
          <t>Third-party funding van collectieve schadevergoedingsacties vergt toetsing aan de ontvankelijkheidsvereisten, de Claimcode en aan de algemene beginselen van redelijkheid en transparantie.</t>
        </is>
      </c>
      <c r="H132" s="8" t="inlineStr">
        <is>
          <t>C.F. Michiels &amp; C.E. Philips-Santman, 'Third-party funding van collectieve schadevergoedingsacties', Handboek Massaschade 2025. Zie ook de Hof Den Haag 4 februari 2020 (PAL/Aegon) over zeggenschap. Syllabus p. 38 e.v.</t>
        </is>
      </c>
      <c r="I132" s="8" t="inlineStr">
        <is>
          <t>Michiels &amp; Philips-Santman, Handboek Massaschade 2025</t>
        </is>
      </c>
      <c r="J132" s="8" t="inlineStr"/>
      <c r="K132" s="8" t="inlineStr"/>
    </row>
    <row r="133" ht="96" customHeight="1">
      <c r="A133" s="8" t="inlineStr">
        <is>
          <t>card_132</t>
        </is>
      </c>
      <c r="B133" s="8" t="inlineStr">
        <is>
          <t>08</t>
        </is>
      </c>
      <c r="C133" s="8" t="inlineStr">
        <is>
          <t>Arons, Misbruik van bevoegdheid (MvO 2020/7)</t>
        </is>
      </c>
      <c r="D133" s="8" t="inlineStr">
        <is>
          <t>rechtsleer</t>
        </is>
      </c>
      <c r="E133" s="8" t="inlineStr">
        <is>
          <t>Welke drie modellen van collectieve geschilbeslechting onderscheidt Arons om misbruik van bevoegdheid in collectieve acties te voorkomen?</t>
        </is>
      </c>
      <c r="F133" s="8" t="inlineStr">
        <is>
          <t>(1) Het belangenbehartigersmodel (vakbond/consumentenbond die opkomt voor vast afgebakende achterban); (2) het claimstichtingsmodel (commercieel, met third-party funding, gericht op schadevergoedingsactie); (3) het hybride model (ideëel doel met financiële schadevergoedingsactie, zoals klimaat- of privacy-stichtingen). Per model geldt een ander accent bij de toetsing van het waarborgvereiste.</t>
        </is>
      </c>
      <c r="G133" s="8" t="inlineStr">
        <is>
          <t>Misbruik van bevoegdheid in collectieve acties. Drie afgebakende modellen van collectieve geschilbeslechting.</t>
        </is>
      </c>
      <c r="H133" s="8" t="inlineStr">
        <is>
          <t>T.M.C. Arons, MvO 2020/7 afl. 2, Boom Juridische Uitgevers. Referentiekader voor de discussie over representativiteit. Syllabus p. 73 e.v.</t>
        </is>
      </c>
      <c r="I133" s="8" t="inlineStr">
        <is>
          <t>T.M.C. Arons, MvO 2020/7, p. 202-208</t>
        </is>
      </c>
      <c r="J133" s="8" t="inlineStr"/>
      <c r="K133" s="8" t="inlineStr"/>
    </row>
    <row r="134" ht="96" customHeight="1">
      <c r="A134" s="8" t="inlineStr">
        <is>
          <t>card_133</t>
        </is>
      </c>
      <c r="B134" s="8" t="inlineStr">
        <is>
          <t>08</t>
        </is>
      </c>
      <c r="C134" s="8" t="inlineStr">
        <is>
          <t>Van Doorn &amp; Tzankova, cy près (2025)</t>
        </is>
      </c>
      <c r="D134" s="8" t="inlineStr">
        <is>
          <t>rechtsleer</t>
        </is>
      </c>
      <c r="E134" s="8" t="inlineStr">
        <is>
          <t>Wat is cy près en wanneer is het een alternatief voor individuele schadevergoeding in collectieve acties?</t>
        </is>
      </c>
      <c r="F134" s="8" t="inlineStr">
        <is>
          <t>Cy près ('zo dicht mogelijk bij het doel') is een second-best-besteding van het collectief verhaalde schadebedrag. Als individuele schadevergoeding aan alle gedupeerden praktisch ondoenlijk is (bijvoorbeeld door kleine bedragen per persoon of onidentificeerbare achterban), kan het gevorderde bedrag worden besteed aan een doel dat het groepsbelang dient (bijvoorbeeld een consumentenfonds of sectorale voorziening).</t>
        </is>
      </c>
      <c r="G134" s="8" t="inlineStr">
        <is>
          <t>Second-best-bestedingen en cy près als alternatieve schadevergoeding bij massaschade: een route om het restitutiedoel te realiseren wanneer individuele uitkering onhaalbaar is.</t>
        </is>
      </c>
      <c r="H134" s="8" t="inlineStr">
        <is>
          <t>C.J.M. van Doorn &amp; I.N. Tzankova, Handboek Massaschade 2025. Docent-literatuur; bepaalt de opvatting van Tzankova over alternatieve schadeverdeling. Syllabus p. 80 e.v.</t>
        </is>
      </c>
      <c r="I134" s="8" t="inlineStr">
        <is>
          <t>Van Doorn &amp; Tzankova, Handboek Massaschade 2025</t>
        </is>
      </c>
      <c r="J134" s="8" t="inlineStr"/>
      <c r="K134" s="8" t="inlineStr"/>
    </row>
    <row r="135" ht="96" customHeight="1">
      <c r="A135" s="8" t="inlineStr">
        <is>
          <t>card_134</t>
        </is>
      </c>
      <c r="B135" s="8" t="inlineStr">
        <is>
          <t>08</t>
        </is>
      </c>
      <c r="C135" s="8" t="inlineStr">
        <is>
          <t>Representativiteitsvereiste</t>
        </is>
      </c>
      <c r="D135" s="8" t="inlineStr">
        <is>
          <t>rechtsleer</t>
        </is>
      </c>
      <c r="E135" s="8" t="inlineStr">
        <is>
          <t>Hoe wordt het representativiteitsvereiste uit art. 3:305a lid 2 aanhef BW concreet getoetst?</t>
        </is>
      </c>
      <c r="F135" s="8" t="inlineStr">
        <is>
          <t>Aan de hand van (a) de achterban (aantal leden/deelnemers versus omvang van de gedupeerde groep), (b) de omvang van de vertegenwoordigde vorderingen, (c) de mate waarin de organisatie feitelijk contact heeft met haar achterban (nieuwsbrieven, vergaderingen), en (d) de ondersteuning door de maatschappij (support statements, schriftelijke instemming). Cumulatieve beoordeling; een lage score op één factor kan door een hoge score op een andere factor worden gecompenseerd.</t>
        </is>
      </c>
      <c r="G135" s="8" t="inlineStr">
        <is>
          <t>De rechtspersoon is voldoende representatief wanneer zij — gelet op de achterban en de omvang van de vertegenwoordigde vorderingen — een substantieel deel van de gedupeerde groep vertegenwoordigt.</t>
        </is>
      </c>
      <c r="H135" s="8" t="inlineStr">
        <is>
          <t>Belangrijke toetsingsmaatstaf, uitgewerkt in FNV &amp; CNV/Temper, PHR De Bock (Oracle/Salesforce) en de lagere rechtspraak. Centraal bij huiswerkvraag 3.</t>
        </is>
      </c>
      <c r="I135" s="8" t="inlineStr">
        <is>
          <t>Art. 3:305a lid 2 aanhef BW</t>
        </is>
      </c>
      <c r="J135" s="8" t="inlineStr"/>
      <c r="K135" s="8" t="inlineStr"/>
    </row>
    <row r="136" ht="96" customHeight="1">
      <c r="A136" s="8" t="inlineStr">
        <is>
          <t>card_135</t>
        </is>
      </c>
      <c r="B136" s="8" t="inlineStr">
        <is>
          <t>08</t>
        </is>
      </c>
      <c r="C136" s="8" t="inlineStr">
        <is>
          <t>HvJ EU Apple (scope WAMCA)</t>
        </is>
      </c>
      <c r="D136" s="8" t="inlineStr">
        <is>
          <t>rechtsleer</t>
        </is>
      </c>
      <c r="E136" s="8" t="inlineStr">
        <is>
          <t>Wat besliste het HvJ EU in de zaak Apple over de relatieve bevoegdheid van de Nederlandse rechter in collectieve acties op grond van art. 7 lid 2 Brussel I-bis?</t>
        </is>
      </c>
      <c r="F136" s="8" t="inlineStr">
        <is>
          <t>Het HvJ EU oordeelde dat wanneer een collectieve actie namens een 'nauw omschreven groep' gebruikers met een aan Nederland gekoppeld Apple ID wordt ingesteld, de virtuele ruimte van de NL App Store overeenkomt met het gehele Nederlandse grondgebied. Iedere Nederlandse rechter die materieel bevoegd is, is dan ook relatief bevoegd. De rechter mag abstraheren van de individuele leden van de achterban.</t>
        </is>
      </c>
      <c r="G136" s="8" t="inlineStr">
        <is>
          <t>De virtuele ruimte die de NL App Store vormt en waarbinnen de aankopen hebben plaatsgevonden komt overeen met het gehele grondgebied van die staat. De schade die bij aankopen in deze virtuele ruimte is geleden kan dus op dat grondgebied intreden, ongeacht waar de betrokken gebruikers zich op het tijdstip van de betrokken aankoop bevonden.</t>
        </is>
      </c>
      <c r="H136" s="8" t="inlineStr">
        <is>
          <t>HvJ EU-arrest dat centraal staat in PHR Snijders (Stellantis). Bepaalt de bevoegdheid voor digitale massaschadezaken. Zie ook rov. 4.6-4.7 PHR Snijders.</t>
        </is>
      </c>
      <c r="I136" s="8" t="inlineStr">
        <is>
          <t>HvJ EU (Apple-arrest), aangehaald in PHR 6 maart 2026, ECLI:NL:PHR:2026:224</t>
        </is>
      </c>
      <c r="J136" s="8" t="inlineStr"/>
      <c r="K136" s="8" t="inlineStr"/>
    </row>
    <row r="137" ht="96" customHeight="1">
      <c r="A137" s="8" t="inlineStr">
        <is>
          <t>card_136</t>
        </is>
      </c>
      <c r="B137" s="8" t="inlineStr">
        <is>
          <t>08</t>
        </is>
      </c>
      <c r="C137" s="8" t="inlineStr">
        <is>
          <t>Huiswerkvraag 1</t>
        </is>
      </c>
      <c r="D137" s="8" t="inlineStr">
        <is>
          <t>casus</t>
        </is>
      </c>
      <c r="E137" s="8" t="inlineStr">
        <is>
          <t>Hoeveel wettelijke regelingen voor de collectieve afwikkeling van massaschade zijn per 1 januari 2026 in Nederland van kracht? Inventariseer.</t>
        </is>
      </c>
      <c r="F137" s="8" t="inlineStr">
        <is>
          <t>Minstens drie algemene regelingen: (1) de collectieve actie ex art. 3:305a BW + WAMCA-procesrecht (art. 1018c-1018o Rv); (2) de WCAM-verbindendverklaring (art. 7:907 BW e.v.); (3) de gebundelde individuele procedure met procesvolmacht. Daarnaast sectorale regelingen: art. 3:305b BW (publiekrechtelijke rechtspersonen), art. 6:240 BW (algemene voorwaarden), art. 7:684 BW (CAO-recht), antidiscriminatie- en dierenwelzijnsregelingen. Richtlijn Representatieve Vorderingen (RRV) is geïmplementeerd.</t>
        </is>
      </c>
      <c r="G137" s="8" t="inlineStr">
        <is>
          <t>Hoeveel wettelijke regelingen voor de collectieve afwikkeling van massaschade zijn in Nederland van kracht per 1 januari 2026?</t>
        </is>
      </c>
      <c r="H137" s="8" t="inlineStr">
        <is>
          <t>Vraag 1 van de huiswerkopdracht. Tzankova verwacht dat studenten zowel de algemene als de sectorale regelingen benoemen en duiden.</t>
        </is>
      </c>
      <c r="I137" s="8" t="inlineStr">
        <is>
          <t>Syllabus module 08, Huiswerkopdracht vraag 1</t>
        </is>
      </c>
      <c r="J137" s="8" t="inlineStr"/>
      <c r="K137" s="8" t="inlineStr"/>
    </row>
    <row r="138" ht="96" customHeight="1">
      <c r="A138" s="8" t="inlineStr">
        <is>
          <t>card_137</t>
        </is>
      </c>
      <c r="B138" s="8" t="inlineStr">
        <is>
          <t>08</t>
        </is>
      </c>
      <c r="C138" s="8" t="inlineStr">
        <is>
          <t>Huiswerkvraag 2 (Stellantis)</t>
        </is>
      </c>
      <c r="D138" s="8" t="inlineStr">
        <is>
          <t>casus</t>
        </is>
      </c>
      <c r="E138" s="8" t="inlineStr">
        <is>
          <t>Welk rechtsbeginsel ligt ten grondslag aan de maatstaf van A-G Snijders in Stellantis, en welk rechtsbeginsel komt in het gedrang?</t>
        </is>
      </c>
      <c r="F138" s="8" t="inlineStr">
        <is>
          <t>Grondslag: het beginsel van effectieve rechtsbescherming en toegang tot de rechter. In het gedrang: rechtszekerheid en forum non conveniens voor buitenlandse gedaagden, die soms geconfronteerd worden met een Nederlandse WAMCA-procedure voor gebeurtenissen met een beperkte Nederlandse aanknoping. Subsidiair kan forum shopping door claimstichtingen als neveneffect optreden. Beoordeel beide beginselen bij het vormen van een eigen standpunt.</t>
        </is>
      </c>
      <c r="G138" s="8" t="inlineStr">
        <is>
          <t>Bestudeer de Conclusie van A-G Snijders in de Stellantis zaak over de toepasselijkheid van de WAMCA: welke maatstaf stelt de A-G voor? Welk rechtsbeginsel ligt aan deze motivering ten grondslag en welk rechtsbeginsel komt in het gedrang?</t>
        </is>
      </c>
      <c r="H138" s="8" t="inlineStr">
        <is>
          <t>Vraag 2 van de huiswerkopdracht. Tzankova verwacht expliciete stellingname: ben je het eens met de uitkomst?</t>
        </is>
      </c>
      <c r="I138" s="8" t="inlineStr">
        <is>
          <t>Syllabus module 08, Huiswerkopdracht vraag 2</t>
        </is>
      </c>
      <c r="J138" s="8" t="inlineStr"/>
      <c r="K138" s="8" t="inlineStr"/>
    </row>
    <row r="139" ht="96" customHeight="1">
      <c r="A139" s="8" t="inlineStr">
        <is>
          <t>card_138</t>
        </is>
      </c>
      <c r="B139" s="8" t="inlineStr">
        <is>
          <t>08</t>
        </is>
      </c>
      <c r="C139" s="8" t="inlineStr">
        <is>
          <t>Huiswerkvraag 3 eisers (Twitter hoger beroep)</t>
        </is>
      </c>
      <c r="D139" s="8" t="inlineStr">
        <is>
          <t>casus</t>
        </is>
      </c>
      <c r="E139" s="8" t="inlineStr">
        <is>
          <t>Welke argumenten uit PHR De Bock (Oracle/Salesforce) kunnen eisers benutten in hoger beroep van de Twitter-uitspraak?</t>
        </is>
      </c>
      <c r="F139" s="8" t="inlineStr">
        <is>
          <t>Eisers kunnen steunen op: (1) de door De Bock bepleite ruime uitleg van het gelijksoortigheidsvereiste voor AVG-vorderingen; (2) haar standpunt dat art. 80 AVG en art. 3:305a BW cumulatief kunnen werken, waardoor collectieve afdwinging van privacy-rechten mogelijk blijft zonder individueel mandaat; (3) haar kritiek op te hoge drempels bij de feitelijke belangenbehartiging als de organisatie aantoonbaar digitale contactkanalen heeft met de achterban; (4) het terugwijsverbod dat voorkomt dat elke ontvankelijkheidsbeslissing tot cascade van nieuwe procedures leidt.</t>
        </is>
      </c>
      <c r="G139" s="8" t="inlineStr">
        <is>
          <t>Stel dat de eisers in hoger beroep van de Twitter uitspraak zouden willen gaan: welke argumenten zouden zij aan de conclusie van de A-G kunnen ontlenen?</t>
        </is>
      </c>
      <c r="H139" s="8" t="inlineStr">
        <is>
          <t>Vraag 3 van de huiswerkopdracht (eiserskant). Kies bewust voor comfort-zone-doorbraak indien kantoor aan gedaagdenkant staat.</t>
        </is>
      </c>
      <c r="I139" s="8" t="inlineStr">
        <is>
          <t>Syllabus module 08, Huiswerkopdracht vraag 3</t>
        </is>
      </c>
      <c r="J139" s="8" t="inlineStr"/>
      <c r="K139" s="8" t="inlineStr"/>
    </row>
    <row r="140" ht="96" customHeight="1">
      <c r="A140" s="8" t="inlineStr">
        <is>
          <t>card_139</t>
        </is>
      </c>
      <c r="B140" s="8" t="inlineStr">
        <is>
          <t>08</t>
        </is>
      </c>
      <c r="C140" s="8" t="inlineStr">
        <is>
          <t>Huiswerkvraag 3 gedaagden (Twitter hoger beroep)</t>
        </is>
      </c>
      <c r="D140" s="8" t="inlineStr">
        <is>
          <t>casus</t>
        </is>
      </c>
      <c r="E140" s="8" t="inlineStr">
        <is>
          <t>Welke argumenten kunnen gedaagden in hoger beroep van de Twitter-uitspraak inbrengen tegen de conclusie van A-G De Bock?</t>
        </is>
      </c>
      <c r="F140" s="8" t="inlineStr">
        <is>
          <t>Gedaagden kunnen aanvoeren: (1) het representativiteitsvereiste verlangt meer dan louter digitale contactkanalen — actieve instemming van een substantieel deel van de achterban; (2) de verhouding tussen art. 80 AVG en art. 3:305a BW vereist een expliciet mandaat van de betrokkenen (tegen De Bock); (3) summierlijke ondeugdelijkheid van de materiële vorderingen: als de AVG-grondslag ontbreekt, moet de ontvankelijkheidsdrempel strenger; (4) forum non conveniens voor multinationale tech-bedrijven die in meerdere EU-lidstaten worden aangesproken; (5) de (vermeende) commerciële belangen van de procesfinancier die de onafhankelijkheid van de stichting ondergraven.</t>
        </is>
      </c>
      <c r="G140" s="8" t="inlineStr">
        <is>
          <t>Gedaagden: welke argumenten zijn aan te voeren tegen de conclusie van de A-G en/of van de toepassing daarvan in het hoger beroep van de Twitter zaak?</t>
        </is>
      </c>
      <c r="H140" s="8" t="inlineStr">
        <is>
          <t>Vraag 3 van de huiswerkopdracht (gedaagdenkant).</t>
        </is>
      </c>
      <c r="I140" s="8" t="inlineStr">
        <is>
          <t>Syllabus module 08, Huiswerkopdracht vraag 3</t>
        </is>
      </c>
      <c r="J140" s="8" t="inlineStr"/>
      <c r="K140" s="8" t="inlineStr"/>
    </row>
    <row r="141" ht="96" customHeight="1">
      <c r="A141" s="9" t="inlineStr">
        <is>
          <t>card_140</t>
        </is>
      </c>
      <c r="B141" s="9" t="inlineStr">
        <is>
          <t>11</t>
        </is>
      </c>
      <c r="C141" s="9" t="inlineStr">
        <is>
          <t>Art. 3 Prospectusverordening</t>
        </is>
      </c>
      <c r="D141" s="9" t="inlineStr">
        <is>
          <t>wetsartikel</t>
        </is>
      </c>
      <c r="E141" s="9" t="inlineStr">
        <is>
          <t>Wat is de kern van de prospectusplicht uit art. 3 Prospectusverordening (Vo. 2017/1129)?</t>
        </is>
      </c>
      <c r="F141" s="9" t="inlineStr">
        <is>
          <t>Het is verboden in Nederland effecten aan het publiek aan te bieden of te doen toelaten tot de handel op een gereglementeerde markt zonder een door de AFM (of een andere EU-toezichthouder) goedgekeurd en algemeen verkrijgbaar prospectus. Dit vormt de basis van de prospectusplicht.</t>
        </is>
      </c>
      <c r="G141" s="9" t="inlineStr">
        <is>
          <t>Krachtens art. 3 lid 1 Prospectusverordening is het verboden in Nederland effecten aan te bieden aan het publiek of effecten te doen toelaten tot de handel op een in Nederland gelegen of functionerende gereglementeerde markt, tenzij terzake van de aanbieding of toelating een prospectus algemeen verkrijgbaar is dat is goedgekeurd door de AFM of door een toezichthouder in een andere EU lidstaat.</t>
        </is>
      </c>
      <c r="H141" s="9" t="inlineStr">
        <is>
          <t>Syllabus Arons, Algemene Inleiding §1. Sinds 1 juli 2005 ligt de goedkeuring bij de AFM.</t>
        </is>
      </c>
      <c r="I141" s="9" t="inlineStr">
        <is>
          <t>Art. 3 Verordening (EU) 2017/1129 (Prospectusverordening), PbEU L 168/12</t>
        </is>
      </c>
      <c r="J141" s="9" t="inlineStr"/>
      <c r="K141" s="9" t="inlineStr"/>
    </row>
    <row r="142" ht="96" customHeight="1">
      <c r="A142" s="9" t="inlineStr">
        <is>
          <t>card_141</t>
        </is>
      </c>
      <c r="B142" s="9" t="inlineStr">
        <is>
          <t>11</t>
        </is>
      </c>
      <c r="C142" s="9" t="inlineStr">
        <is>
          <t>Art. 6 Prospectusverordening</t>
        </is>
      </c>
      <c r="D142" s="9" t="inlineStr">
        <is>
          <t>wetsartikel</t>
        </is>
      </c>
      <c r="E142" s="9" t="inlineStr">
        <is>
          <t>Wat eist art. 6 Prospectusverordening van de inhoud van het prospectus?</t>
        </is>
      </c>
      <c r="F142" s="9" t="inlineStr">
        <is>
          <t>Het prospectus moet alle informatie bevatten die, gelet op de aard van de uitgevende instelling en de effecten, noodzakelijk is voor beleggers om een geïnformeerd oordeel te kunnen vormen over het vermogen, de financiële positie, de resultaten en de vooruitzichten van de uitgevende instelling en de rechten verbonden aan de effecten. De informatie moet juist, begrijpelijk, consistent en niet-misleidend zijn.</t>
        </is>
      </c>
      <c r="G142" s="9" t="inlineStr">
        <is>
          <t>Het prospectus bevat de noodzakelijke informatie die van wezenlijk belang is voor de belegger om zich met kennis van zaken een oordeel te kunnen vormen over het vermogen en de passiva, de financiële positie, de winsten en verliezen, de vooruitzichten van de uitgevende instelling en eventuele garant en de rechten welke verbonden zijn aan deze effecten.</t>
        </is>
      </c>
      <c r="H142" s="9" t="inlineStr">
        <is>
          <t>Grondslag van de informatieplicht. Zie de maatman-toets uit World Online (card_156).</t>
        </is>
      </c>
      <c r="I142" s="9" t="inlineStr">
        <is>
          <t>Art. 6 Verordening (EU) 2017/1129 (Prospectusverordening)</t>
        </is>
      </c>
      <c r="J142" s="9" t="inlineStr"/>
      <c r="K142" s="9" t="inlineStr"/>
    </row>
    <row r="143" ht="96" customHeight="1">
      <c r="A143" s="9" t="inlineStr">
        <is>
          <t>card_142</t>
        </is>
      </c>
      <c r="B143" s="9" t="inlineStr">
        <is>
          <t>11</t>
        </is>
      </c>
      <c r="C143" s="9" t="inlineStr">
        <is>
          <t>Art. 11 Prospectusverordening</t>
        </is>
      </c>
      <c r="D143" s="9" t="inlineStr">
        <is>
          <t>wetsartikel</t>
        </is>
      </c>
      <c r="E143" s="9" t="inlineStr">
        <is>
          <t>Wat regelt art. 11 Prospectusverordening over prospectusaansprakelijkheid en waarom is het harmoniserende effect beperkt?</t>
        </is>
      </c>
      <c r="F143" s="9" t="inlineStr">
        <is>
          <t>Art. 11 lid 2 schrijft voor dat de lidstaten verantwoordelijk moeten zorgen dat degenen die verantwoordelijk zijn voor het prospectus daarvoor ook aansprakelijk gesteld kunnen worden. Welke personen (uitgevende instelling, bestuurders, lead manager etc.) precies verantwoordelijk/aansprakelijk zijn, wordt aan het nationale recht overgelaten. Daardoor ontstaat geen Europees 'level playing field'.</t>
        </is>
      </c>
      <c r="G143" s="9" t="inlineStr">
        <is>
          <t>Art. 11 lid 2, alinea 1 Prospectusverordening heeft slechts als harmoniserend effect, dat degenen die verantwoordelijk zijn voor het prospectus onder het nationale recht van de lidstaten ook aansprakelijk gesteld moeten kunnen worden. Echter, welke bij een aanbieding van effecten betrokken personen en partijen precies verantwoordelijk en aansprakelijk zullen zijn wordt door de richtlijn in het midden gelaten.</t>
        </is>
      </c>
      <c r="H143" s="9" t="inlineStr">
        <is>
          <t>Syllabus Arons §2. Gevolg: bij een internationale emissie worden vorderingen onder art. 4 Rome II (lex loci damni) beheerst door het recht van elke staat waar het prospectus openbaar is.</t>
        </is>
      </c>
      <c r="I143" s="9" t="inlineStr">
        <is>
          <t>Art. 11 Verordening (EU) 2017/1129 (Prospectusverordening)</t>
        </is>
      </c>
      <c r="J143" s="9" t="inlineStr"/>
      <c r="K143" s="9" t="inlineStr"/>
    </row>
    <row r="144" ht="96" customHeight="1">
      <c r="A144" s="9" t="inlineStr">
        <is>
          <t>card_143</t>
        </is>
      </c>
      <c r="B144" s="9" t="inlineStr">
        <is>
          <t>11</t>
        </is>
      </c>
      <c r="C144" s="9" t="inlineStr">
        <is>
          <t>Art. 6:194 BW</t>
        </is>
      </c>
      <c r="D144" s="9" t="inlineStr">
        <is>
          <t>wetsartikel</t>
        </is>
      </c>
      <c r="E144" s="9" t="inlineStr">
        <is>
          <t>Wie kan sinds 15 oktober 2008 een beroep doen op art. 6:194 BW en onder welke voorwaarden?</t>
        </is>
      </c>
      <c r="F144" s="9" t="inlineStr">
        <is>
          <t>Na invoering van de Wet OHP kan op art. 6:194 BW uitsluitend nog een beroep worden gedaan door partijen die handelen in de uitoefening van hun bedrijf (B2B). Vereist is dat de gedaagde omtrent door hem (of degene voor wie hij handelt) aangeboden goederen/diensten een misleidende mededeling openbaar heeft gemaakt of laten maken. Consumenten moeten ageren op grond van art. 6:193a-j BW.</t>
        </is>
      </c>
      <c r="G144" s="9" t="inlineStr">
        <is>
          <t>Als gevolg daarvan kan op de artt. 6:194 e.v. BW uitsluitend nog een beroep worden gedaan door partijen die handelen in de uitoefening van hun bedrijf, en niet langer door consumenten.</t>
        </is>
      </c>
      <c r="H144" s="9" t="inlineStr">
        <is>
          <t>Implementatie Richtlijn 2005/29/EG (Wet OHP). Zie huiswerkcasus Klarna: professionele belegger → art. 6:194 BW.</t>
        </is>
      </c>
      <c r="I144" s="9" t="inlineStr">
        <is>
          <t>Art. 6:194 BW</t>
        </is>
      </c>
      <c r="J144" s="9" t="inlineStr"/>
      <c r="K144" s="9" t="inlineStr"/>
    </row>
    <row r="145" ht="96" customHeight="1">
      <c r="A145" s="9" t="inlineStr">
        <is>
          <t>card_144</t>
        </is>
      </c>
      <c r="B145" s="9" t="inlineStr">
        <is>
          <t>11</t>
        </is>
      </c>
      <c r="C145" s="9" t="inlineStr">
        <is>
          <t>Art. 6:195 BW (omkering bewijslast)</t>
        </is>
      </c>
      <c r="D145" s="9" t="inlineStr">
        <is>
          <t>rechtsleer</t>
        </is>
      </c>
      <c r="E145" s="9" t="inlineStr">
        <is>
          <t>Wat is de 'dubbele omkering van de bewijslast' bij prospectusaansprakelijkheid en op welke artikelen rust zij?</t>
        </is>
      </c>
      <c r="F145" s="9" t="inlineStr">
        <is>
          <t>Art. 6:195 (B2B) en 6:193j (B2C) BW draaien zowel de bewijslast van het misleidend karakter van de mededeling als de toerekenbaarheid om. Voorwaarde is dat de gedaagde de inhoud en inkleding van de mededeling geheel of ten dele heeft bepaald of laten bepalen. De belegger hoeft dus alleen gemotiveerd te stellen dat misleiding plausibel is; de uitgever moet bewijzen dat de mededeling juist en volledig was én dat het misleidend karakter hem niet is toe te rekenen.</t>
        </is>
      </c>
      <c r="G145" s="9" t="inlineStr">
        <is>
          <t>De toegevoegde waarde van de artt. 6:193a/194 e.v. BW zit hem in het feit dat de belegger op grond daarvan aanspraak kan maken op een dubbele omkering van de bewijslast, namelijk ten aanzien van het misleidend karakter van de mededelingen en ten aanzien van de toerekenbaarheid.</t>
        </is>
      </c>
      <c r="H145" s="9" t="inlineStr">
        <is>
          <t>Syllabus Arons §3. Sterker dan de discretionaire omkering op billijkheidsgronden (art. 150 Rv) bij een 'gewone' 6:162-actie.</t>
        </is>
      </c>
      <c r="I145" s="9" t="inlineStr">
        <is>
          <t>Art. 6:195 jo. 6:193j BW</t>
        </is>
      </c>
      <c r="J145" s="9" t="inlineStr"/>
      <c r="K145" s="9" t="inlineStr"/>
    </row>
    <row r="146" ht="96" customHeight="1">
      <c r="A146" s="9" t="inlineStr">
        <is>
          <t>card_145</t>
        </is>
      </c>
      <c r="B146" s="9" t="inlineStr">
        <is>
          <t>11</t>
        </is>
      </c>
      <c r="C146" s="9" t="inlineStr">
        <is>
          <t>Art. 6:193a-j BW (Wet OHP)</t>
        </is>
      </c>
      <c r="D146" s="9" t="inlineStr">
        <is>
          <t>wetsartikel</t>
        </is>
      </c>
      <c r="E146" s="9" t="inlineStr">
        <is>
          <t>Hoe kwalificeren prospectusmededelingen onder de Wet oneerlijke handelspraktijken, en wie is 'handelaar'?</t>
        </is>
      </c>
      <c r="F146" s="9" t="inlineStr">
        <is>
          <t>Mededelingen in een prospectus kwalificeren als 'handelspraktijk'; zowel de uitgevende instelling als de lead manager zijn 'handelaar' in de zin van art. 6:193a lid 1 BW. Onjuiste of onvolledige mededelingen zijn een misleidende handelspraktijk (art. 6:193c BW) of misleidende omissie (art. 6:193d BW). Een bestuurder die uitsluitend in zijn functie meewerkt is volgens Arons geen zelfstandig handelaar; wel als hij zelfstandig naar buiten treedt (bijv. roadshow, interview).</t>
        </is>
      </c>
      <c r="G146" s="9" t="inlineStr">
        <is>
          <t>Mededelingen in een prospectus kwalificeren als 'handelspraktijk' en zowel de uitgevende instelling als de lead manager kwalificeren als 'handelaar' in de zin van art. 6:193a lid 1 BW. Het doen van onjuiste of onvolledige, en daardoor misleidende, prospectusmededelingen zal dus een misleidende handelspraktijk (6:193c BW) dan wel een misleidende omissie (6:193d BW) zijn.</t>
        </is>
      </c>
      <c r="H146" s="9" t="inlineStr">
        <is>
          <t>Syllabus Arons §3. Zie huiswerkcasus Klarna vraag d (oud-CFO als handelaar bij roadshow).</t>
        </is>
      </c>
      <c r="I146" s="9" t="inlineStr">
        <is>
          <t>Art. 6:193a e.v. BW</t>
        </is>
      </c>
      <c r="J146" s="9" t="inlineStr"/>
      <c r="K146" s="9" t="inlineStr"/>
    </row>
    <row r="147" ht="96" customHeight="1">
      <c r="A147" s="9" t="inlineStr">
        <is>
          <t>card_146</t>
        </is>
      </c>
      <c r="B147" s="9" t="inlineStr">
        <is>
          <t>11</t>
        </is>
      </c>
      <c r="C147" s="9" t="inlineStr">
        <is>
          <t>Art. 6:193j lid 3 BW</t>
        </is>
      </c>
      <c r="D147" s="9" t="inlineStr">
        <is>
          <t>wetsartikel</t>
        </is>
      </c>
      <c r="E147" s="9" t="inlineStr">
        <is>
          <t>Wat biedt art. 6:193j lid 3 BW de consument-belegger sinds 13 juni 2014?</t>
        </is>
      </c>
      <c r="F147" s="9" t="inlineStr">
        <is>
          <t>De consument kan de overeenkomst vernietigen als die tot stand is gekomen 'als gevolg van' een oneerlijke handelspraktijk. Hij moet misleiding en transactiecausaliteit stellen, maar hoeft geen schade te bewijzen en er geldt geen schuld- of toerekenbaarheidsvereiste. Dit is een kortere route naar restitutie dan art. 6:162 BW.</t>
        </is>
      </c>
      <c r="G147" s="9" t="inlineStr">
        <is>
          <t>Deze nieuwe bepaling geeft consumenten in het algemeen, en dus ook consument-beleggers de mogelijkheid de overeenkomst te vernietigen als deze tot stand is gekomen 'als gevolg van' een oneerlijke handelspraktijk. Daarmee is een kortere route naar restitutie van ingelegde beleggingsgelden gecreëerd.</t>
        </is>
      </c>
      <c r="H147" s="9" t="inlineStr">
        <is>
          <t>Implementatiewet richtlijn consumentenrechten (Stb. 2014, 140). Past eigenlijk niet in het systeem van de onrechtmatige daad.</t>
        </is>
      </c>
      <c r="I147" s="9" t="inlineStr">
        <is>
          <t>Art. 6:193j lid 3 BW</t>
        </is>
      </c>
      <c r="J147" s="9" t="inlineStr"/>
      <c r="K147" s="9" t="inlineStr"/>
    </row>
    <row r="148" ht="96" customHeight="1">
      <c r="A148" s="9" t="inlineStr">
        <is>
          <t>card_147</t>
        </is>
      </c>
      <c r="B148" s="9" t="inlineStr">
        <is>
          <t>11</t>
        </is>
      </c>
      <c r="C148" s="9" t="inlineStr">
        <is>
          <t>Maatman-belegger (World Online)</t>
        </is>
      </c>
      <c r="D148" s="9" t="inlineStr">
        <is>
          <t>rechtsleer</t>
        </is>
      </c>
      <c r="E148" s="9" t="inlineStr">
        <is>
          <t>Wat is het misleidingscriterium uit het World Online-arrest en welke rol speelt de 'maatman-belegger'?</t>
        </is>
      </c>
      <c r="F148" s="9" t="inlineStr">
        <is>
          <t>Een mededeling is misleidend als haar onjuistheid of onvolledigheid van voldoende materieel belang is om de maatman-belegger - de gemiddeld geïnformeerde, omzichtige en oplettende gewone belegger - te kunnen misleiden en diens economisch gedrag te kunnen beïnvloeden. Onder de Wet OHP is dit niet wezenlijk anders (r.o. 4.10 World Online).</t>
        </is>
      </c>
      <c r="G148" s="9" t="inlineStr">
        <is>
          <t>Een mededeling [kan] reeds als misleidend worden gekwalificeerd, indien de onjuistheid of onvolledigheid van de mededeling van voldoende materiaal belang is om de 'maatman-belegger' te kunnen misleiden en diens economisch gedrag te kunnen beïnvloeden. Het misleidingscriterium is daarmee afgestemd op de vermoedelijke verwachting van de gemiddeld geïnformeerde, omzichtige en oplettende gewone belegger.</t>
        </is>
      </c>
      <c r="H148" s="9" t="inlineStr">
        <is>
          <t>Centrale toets. Voorloper: HR MeesPierson/Boterenbrood (1998). Zie PHR-conclusie van AG Timmerman (2009).</t>
        </is>
      </c>
      <c r="I148" s="9" t="inlineStr">
        <is>
          <t>HR 27 november 2009, ECLI:NL:HR:2009:BH2162, NJ 2014/201 (VEB/World Online), r.o. 4.10</t>
        </is>
      </c>
      <c r="J148" s="9" t="inlineStr"/>
      <c r="K148" s="9" t="inlineStr"/>
    </row>
    <row r="149" ht="96" customHeight="1">
      <c r="A149" s="9" t="inlineStr">
        <is>
          <t>card_148</t>
        </is>
      </c>
      <c r="B149" s="9" t="inlineStr">
        <is>
          <t>11</t>
        </is>
      </c>
      <c r="C149" s="9" t="inlineStr">
        <is>
          <t>Due diligence-verweer lead manager</t>
        </is>
      </c>
      <c r="D149" s="9" t="inlineStr">
        <is>
          <t>rechtsleer</t>
        </is>
      </c>
      <c r="E149" s="9" t="inlineStr">
        <is>
          <t>Wat houdt het 'due diligence-verweer' van de lead manager in en waar vindt het zijn grondslag?</t>
        </is>
      </c>
      <c r="F149" s="9" t="inlineStr">
        <is>
          <t>Als de lead manager een adequaat due-diligenceonderzoek naar de uitgevende instelling heeft uitgevoerd, zijn bevindingen heeft geverifieerd met wezenlijke mededelingen in het prospectus en het prospectus achteraf toch misleidend blijkt, kan hij zich verweren door te stellen dat het misleidend karakter hem niet valt toe te rekenen. Daarmee vervalt het toerekenbaarheidsvereiste van art. 6:162 BW. Grondslag: HR ABN AMRO/Coop (1994).</t>
        </is>
      </c>
      <c r="G149" s="9" t="inlineStr">
        <is>
          <t>Indien de lead manager een adequaat due diligence onderzoek naar de uitgevende instelling uitvoert, vervolgens aan de hand van zijn bevindingen de juistheid en volledigheid van wezenlijke mededelingen in het prospectus verifieert en het prospectus blijkt achteraf toch misleidend te zijn, kan de lead manager zich tegen mogelijke vorderingen van beleggers tot schadevergoeding verweren door te stellen dat het misleidend karakter van het prospectus hem niet valt toe te rekenen.</t>
        </is>
      </c>
      <c r="H149" s="9" t="inlineStr">
        <is>
          <t>Zorgplicht lead manager ten opzichte van 'de markt'. Sinds 1 juli 2005 niet meer gecodificeerd (RPB vervallen met Prospectusrichtlijn).</t>
        </is>
      </c>
      <c r="I149" s="9" t="inlineStr">
        <is>
          <t>HR 2 december 1994, ECLI:NL:HR:1994:ZC1562, NJ 1996/246 (ABN AMRO/Coopag)</t>
        </is>
      </c>
      <c r="J149" s="9" t="inlineStr"/>
      <c r="K149" s="9" t="inlineStr"/>
    </row>
    <row r="150" ht="96" customHeight="1">
      <c r="A150" s="9" t="inlineStr">
        <is>
          <t>card_149</t>
        </is>
      </c>
      <c r="B150" s="9" t="inlineStr">
        <is>
          <t>11</t>
        </is>
      </c>
      <c r="C150" s="9" t="inlineStr">
        <is>
          <t>Bijzondere zorgplicht lead manager</t>
        </is>
      </c>
      <c r="D150" s="9" t="inlineStr">
        <is>
          <t>rechtsleer</t>
        </is>
      </c>
      <c r="E150" s="9" t="inlineStr">
        <is>
          <t>Welke bijzondere zorgplicht heeft de lead manager jegens derden buiten het prospectus?</t>
        </is>
      </c>
      <c r="F150" s="9" t="inlineStr">
        <is>
          <t>De lead manager moet onder omstandigheden onduidelijke of verwarrende uitlatingen van de uitgevende instelling die buiten het prospectus worden gedaan, door een openbare mededeling corrigeren. Laat hij dat na, dan kan dat onrechtmatig zijn in de zin van art. 6:162 BW. Grondslag: World Online (2009). In de Lipstick-zaak (2004) nam het Hof Amsterdam echter aan dat zo'n verplichting zich niet uitstrekt tot corrigeren van uitlatingen van derden.</t>
        </is>
      </c>
      <c r="G150" s="9"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 Laat de lead manager dit na, dan handelt hij onder omstandigheden onrechtmatig in de zin van art. 6:162 BW.</t>
        </is>
      </c>
      <c r="H150" s="9" t="inlineStr">
        <is>
          <t>Zie huiswerkcasus Klarna vraag c (uitlatingen oud-CFO tijdens roadshow).</t>
        </is>
      </c>
      <c r="I150" s="9" t="inlineStr">
        <is>
          <t>HR 27 november 2009, ECLI:NL:HR:2009:BH2162 (VEB/World Online)</t>
        </is>
      </c>
      <c r="J150" s="9" t="inlineStr"/>
      <c r="K150" s="9" t="inlineStr"/>
    </row>
    <row r="151" ht="96" customHeight="1">
      <c r="A151" s="9" t="inlineStr">
        <is>
          <t>card_150</t>
        </is>
      </c>
      <c r="B151" s="9" t="inlineStr">
        <is>
          <t>11</t>
        </is>
      </c>
      <c r="C151" s="9" t="inlineStr">
        <is>
          <t>Csqn-vermoeden (World Online)</t>
        </is>
      </c>
      <c r="D151" s="9" t="inlineStr">
        <is>
          <t>rechtsleer</t>
        </is>
      </c>
      <c r="E151" s="9" t="inlineStr">
        <is>
          <t>Welk vermoeden geldt volgens World Online voor het causaal verband tussen misleidende mededelingen en beleggingsbeslissing?</t>
        </is>
      </c>
      <c r="F151" s="9" t="inlineStr">
        <is>
          <t>Uitgangspunt is dat tussen de misleidende mededeling en de beleggingsbeslissing het conditio sine qua non-verband aanwezig is (r.o. 4.11.2 World Online). Het causaal verband wordt ruim opgevat: de belegger hoeft niet aan te tonen dat hij het prospectus heeft gelezen of er daadwerkelijk op is afgegaan. Geen causaal verband is er wél als het prospectus geen enkele invloed kan hebben gehad (bijv. aankoop vóór publicatie).</t>
        </is>
      </c>
      <c r="G151" s="9" t="inlineStr">
        <is>
          <t>De uitspraak van de Hoge Raad van 27 november 2009 inzake World Online bevestigt dat het causale verband ruim mag worden opgevat. In het bijzonder komt de Hoge Raad de belegger tegemoet door als uitgangspunt te nemen dat tussen de misleidende mededeling en de beleggingsbeslissing het conditio sine qua non-verband aanwezig is (zie r.o. 4.11).</t>
        </is>
      </c>
      <c r="H151" s="9" t="inlineStr">
        <is>
          <t>Combinatie van ruim causaliteitscriterium (Coop 1994) en csqn-vermoeden (World Online 2009). Gedaagde mag tegenbewijs leveren.</t>
        </is>
      </c>
      <c r="I151" s="9" t="inlineStr">
        <is>
          <t>HR 27 november 2009, ECLI:NL:HR:2009:BH2162 (VEB/World Online), r.o. 4.11.2</t>
        </is>
      </c>
      <c r="J151" s="9" t="inlineStr"/>
      <c r="K151" s="9" t="inlineStr"/>
    </row>
    <row r="152" ht="96" customHeight="1">
      <c r="A152" s="9" t="inlineStr">
        <is>
          <t>card_151</t>
        </is>
      </c>
      <c r="B152" s="9" t="inlineStr">
        <is>
          <t>11</t>
        </is>
      </c>
      <c r="C152" s="9" t="inlineStr">
        <is>
          <t>HR ABN AMRO/Coop (1994)</t>
        </is>
      </c>
      <c r="D152" s="9" t="inlineStr">
        <is>
          <t>arrest</t>
        </is>
      </c>
      <c r="E152" s="9" t="inlineStr">
        <is>
          <t>Wat zijn de drie kernregels uit HR ABN AMRO/Coopag over emissieprospectussen?</t>
        </is>
      </c>
      <c r="F152" s="9" t="inlineStr">
        <is>
          <t>(1) 'Openbaar maken' (art. 1416a oud; thans art. 6:194 BW) heeft een ruime betekenis: geen uitputtingsregel - het overnemen van jaarrekeningen in een prospectus geldt opnieuw als openbaarmaking. (2) De eisende partij moet stellen waarom het prospectus tekortschoot; heeft zij dat gedaan, dan rust op de bank de bewijslast van juistheid/volledigheid (omkering). (3) De bank als lead manager mag niet zonder meer afgaan op door accountants gecontroleerde jaarrekeningen; dit hangt af van de omstandigheden.</t>
        </is>
      </c>
      <c r="G152" s="9" t="inlineStr">
        <is>
          <t>Aansprakelijkheid ingevolge art. 1416 e.v. BW (oud) (zie thans art. 6:194 e.v.) van bank (lead manager) voor misleidende financiële informatie in emissieprospectus. 'Openbaar maken' in art. 1416a. Stelplicht en bewijslast aangaande onjuistheid of onvolledigheid prospectus. 'Zelf bepalen' van mededelingen in art. 1416b. Lead manager mag niet zonder meer afgaan op door accountants gecontroleerde en goedgekeurde jaarrekeningen emitterende vennootschap. (...) Geen aansprakelijkheid van bank jegens kopers van obligaties na de emissie.</t>
        </is>
      </c>
      <c r="H152" s="9" t="inlineStr">
        <is>
          <t>Leading case voor prospectusaansprakelijkheid, basis due-diligence-verweer. NJ 1996/246 m.nt. Verkade. Zie syllabus p. 7.</t>
        </is>
      </c>
      <c r="I152" s="9" t="inlineStr">
        <is>
          <t>HR 2 december 1994, ECLI:NL:HR:1994:ZC1562, NJ 1996/246 m.nt. D.W.F. Verkade (ABN AMRO/Vereniging Coopag)</t>
        </is>
      </c>
      <c r="J152" s="9" t="inlineStr"/>
      <c r="K152" s="9" t="inlineStr"/>
    </row>
    <row r="153" ht="96" customHeight="1">
      <c r="A153" s="9" t="inlineStr">
        <is>
          <t>card_152</t>
        </is>
      </c>
      <c r="B153" s="9" t="inlineStr">
        <is>
          <t>11</t>
        </is>
      </c>
      <c r="C153" s="9" t="inlineStr">
        <is>
          <t>HR MeesPierson/Boterenbrood (1998)</t>
        </is>
      </c>
      <c r="D153" s="9" t="inlineStr">
        <is>
          <t>arrest</t>
        </is>
      </c>
      <c r="E153" s="9" t="inlineStr">
        <is>
          <t>Welke maatstaf voor volledigheid en voor de 'doorsnee particuliere belegger' vloeit voort uit MeesPierson/Boterenbrood?</t>
        </is>
      </c>
      <c r="F153" s="9" t="inlineStr">
        <is>
          <t>(1) De uitgever van het prospectus is gehouden zelf volledige en niet-misleidende inlichtingen te geven; die plicht wordt niet weggenomen door de mogelijkheid dat beleggers vragen kunnen stellen. (2) Bij een doorsnee particuliere belegger mag niet worden uitgegaan van specifieke deskundigheid (grenzen van de rechtsstrijd). (3) Ook een prospectus uitgegeven vóór inwerkingtreding van de Wet effectenhandel is aan die eisen onderworpen als de investeringsbeslissing nadien is genomen.</t>
        </is>
      </c>
      <c r="G153" s="9" t="inlineStr">
        <is>
          <t>Uitgever van prospectus is gehouden in prospectus zelf volledige en niet-misleidende inlichtingen te geven. [...] De uitgever van het prospectus is gehouden daarin volledige en niet-misleidende inlichtingen te geven; zo hij niet aan deze verplichting heeft voldaan, wordt het onvolledige of misleidende karakter van het prospectus niet weggenomen door de mogelijkheid vragen te stellen of nadere inlichtingen te verkrijgen.</t>
        </is>
      </c>
      <c r="H153" s="9" t="inlineStr">
        <is>
          <t>NJ 1998/888 m.nt. Maeijer en Verkade. Canadees onroerend goed-fonds, particuliere beleggers. Voorloper van de maatman-belegger-toets uit World Online.</t>
        </is>
      </c>
      <c r="I153" s="9" t="inlineStr">
        <is>
          <t>HR 8 mei 1998, ECLI:NL:HR:1998:ZC2646, NJ 1998/888 (MeesPierson/Boterenbrood)</t>
        </is>
      </c>
      <c r="J153" s="9" t="inlineStr"/>
      <c r="K153" s="9" t="inlineStr"/>
    </row>
    <row r="154" ht="96" customHeight="1">
      <c r="A154" s="9" t="inlineStr">
        <is>
          <t>card_153</t>
        </is>
      </c>
      <c r="B154" s="9" t="inlineStr">
        <is>
          <t>11</t>
        </is>
      </c>
      <c r="C154" s="9" t="inlineStr">
        <is>
          <t>Hof Amsterdam Stichting Lipstick/ABN AMRO (2004)</t>
        </is>
      </c>
      <c r="D154" s="9" t="inlineStr">
        <is>
          <t>arrest</t>
        </is>
      </c>
      <c r="E154" s="9" t="inlineStr">
        <is>
          <t>Welke twee oordelen velde het Hof Amsterdam in Stichting Lipstick Effect/ABN AMRO?</t>
        </is>
      </c>
      <c r="F154" s="9" t="inlineStr">
        <is>
          <t>(1) De stichting had haar collectieve vordering ex art. 3:305a BW onvoldoende onderbouwd door niet te specificeren voor welke beleggers WOL zij opkwam (4.200 van de vele teleurgestelde beleggers). Daardoor niet-ontvankelijk. (2) Inhoudelijk: de passage in het voorlopig prospectus had duidelijker gekund maar was niet misleidend, en de bank was niet verplicht verwarrende uitlatingen van Brink buiten het prospectus te corrigeren nu de verkoop al in het prospectus was gemeld.</t>
        </is>
      </c>
      <c r="G154" s="9" t="inlineStr">
        <is>
          <t>Nu zich de bijzonderheid voordoet dat ook anderen opkomen voor teleurgestelde beleggers WOL, en bezwaarlijk kan worden aangenomen dat ieder van hen zich sterk maakt voor alle teleurgestelde beleggers, lag het op de weg van de stichting om voldoende duidelijk en concreet te specificeren voor welke van die beleggers zij de belangen behartigt teneinde verwarring met de beide andere groepsacties te voorkomen. Door dat na te laten heeft de stichting haar vorderingen op de voet van art. 3:305a BW onvoldoende onderbouwd.</t>
        </is>
      </c>
      <c r="H154" s="9" t="inlineStr">
        <is>
          <t>JOR 2004/329. Vooraf aan de hoogste WOL-beslissing (HR 2009). Afgewezen collectieve actie op grond van onvoldoende bepaalbaarheid achterban.</t>
        </is>
      </c>
      <c r="I154" s="9" t="inlineStr">
        <is>
          <t>Hof Amsterdam 7 oktober 2004, ECLI:NL:GHAMS:2004:AR3465, JOR 2004/329 (Stichting Lipstick Effect/ABN AMRO)</t>
        </is>
      </c>
      <c r="J154" s="9" t="inlineStr"/>
      <c r="K154" s="9" t="inlineStr"/>
    </row>
    <row r="155" ht="96" customHeight="1">
      <c r="A155" s="9" t="inlineStr">
        <is>
          <t>card_154</t>
        </is>
      </c>
      <c r="B155" s="9" t="inlineStr">
        <is>
          <t>11</t>
        </is>
      </c>
      <c r="C155" s="9" t="inlineStr">
        <is>
          <t>HR De Boer/TMF (2008)</t>
        </is>
      </c>
      <c r="D155" s="9" t="inlineStr">
        <is>
          <t>arrest</t>
        </is>
      </c>
      <c r="E155" s="9" t="inlineStr">
        <is>
          <t>Wat bepaalde HR De Boer/TMF Financial Services over de maatstaf voor misleidendheid van een brochure en over de omvang van de schade?</t>
        </is>
      </c>
      <c r="F155" s="9" t="inlineStr">
        <is>
          <t>(1) Bij de vraag of een brochure misleidend is in de zin van art. 6:194 BW moet worden uitgegaan van de vermoedelijke verwachting van een gemiddeld geïnformeerde, omzichtige en oplettende gewone consument tot wie de brochure zich richt - niet van de ervaring van de concrete investeerders. (2) Schade ten gevolge van de onrechtmatige daad kan zich wel degelijk uitstrekken tot het verlies van de via maatschappen geïnvesteerde bedragen; het hof heeft ten onrechte een te beperkte schademaatstaf gehanteerd.</t>
        </is>
      </c>
      <c r="G155" s="9" t="inlineStr">
        <is>
          <t>Bij beantwoording van de vraag of de brochure misleidend is in de zin van art. 6:194 BW had het hof behoren uit te gaan van de vermoedelijke verwachting van een gemiddeld geïnformeerde, omzichtige en oplettende gewone consument tot wie de brochure zich richt of die zij bereikt.</t>
        </is>
      </c>
      <c r="H155" s="9" t="inlineStr">
        <is>
          <t>Voorloper van World Online voor wat betreft de maatman-toets; NJ 2010/622 m.nt. Kortmann (JOR 2008/209 m.nt. B.J. de Jong). Zie syllabus p. 53.</t>
        </is>
      </c>
      <c r="I155" s="9" t="inlineStr">
        <is>
          <t>HR 30 mei 2008, ECLI:NL:HR:2008:BD2820, JOR 2008/209 m.nt. B.J. de Jong (De Boer c.s./TMF Financial Services)</t>
        </is>
      </c>
      <c r="J155" s="9" t="inlineStr"/>
      <c r="K155" s="9" t="inlineStr"/>
    </row>
    <row r="156" ht="96" customHeight="1">
      <c r="A156" s="9" t="inlineStr">
        <is>
          <t>card_155</t>
        </is>
      </c>
      <c r="B156" s="9" t="inlineStr">
        <is>
          <t>11</t>
        </is>
      </c>
      <c r="C156" s="9" t="inlineStr">
        <is>
          <t>HR World Online (2009)</t>
        </is>
      </c>
      <c r="D156" s="9" t="inlineStr">
        <is>
          <t>arrest</t>
        </is>
      </c>
      <c r="E156" s="9" t="inlineStr">
        <is>
          <t>Wat zijn de kernregels uit HR VEB/World Online voor prospectusaansprakelijkheid?</t>
        </is>
      </c>
      <c r="F156" s="9" t="inlineStr">
        <is>
          <t>(1) Misleidingscriterium: maatman-belegger (gemiddeld geïnformeerde, omzichtige en oplettende gewone belegger) - zie card_147. (2) Bijzondere zorgplicht lead manager: publieke onduidelijke uitlatingen van bestuurders corrigeren (zie card_149). (3) Causaal verband: csqn-vermoeden (zie card_150). (4) Onder de Wet OHP niet wezenlijk anders (r.o. 4.10).</t>
        </is>
      </c>
      <c r="G156" s="9" t="inlineStr">
        <is>
          <t>Uitgevende instelling en begeleidende banken hebben onrechtmatig gehandeld door na te laten de onjuiste indruk die door de bestuursvoorzitter was gewekt te corrigeren.</t>
        </is>
      </c>
      <c r="H156" s="9" t="inlineStr">
        <is>
          <t>Het leidende arrest over prospectusaansprakelijkheid. Uitgebreide PHR van AG Timmerman (6 februari 2009). NJ 2014/201 m.nt. C.E. du Perron. Noot Vletter-van Dort in Ondernemingsrecht 2010/21.</t>
        </is>
      </c>
      <c r="I156" s="9" t="inlineStr">
        <is>
          <t>HR 27 november 2009, ECLI:NL:HR:2009:BH2162, NJ 2014/201 (VEB/World Online)</t>
        </is>
      </c>
      <c r="J156" s="9" t="inlineStr"/>
      <c r="K156" s="9" t="inlineStr"/>
    </row>
    <row r="157" ht="96" customHeight="1">
      <c r="A157" s="9" t="inlineStr">
        <is>
          <t>card_156</t>
        </is>
      </c>
      <c r="B157" s="9" t="inlineStr">
        <is>
          <t>11</t>
        </is>
      </c>
      <c r="C157" s="9" t="inlineStr">
        <is>
          <t>HR TMF-vervolg (2018)</t>
        </is>
      </c>
      <c r="D157" s="9" t="inlineStr">
        <is>
          <t>arrest</t>
        </is>
      </c>
      <c r="E157" s="9" t="inlineStr">
        <is>
          <t>Welke maatstaf voor persoonlijk ernstig verwijt van een bestuurder hanteert HR 30 maart 2018 (TMF)?</t>
        </is>
      </c>
      <c r="F157" s="9" t="inlineStr">
        <is>
          <t>Bij bestuurdersaansprakelijkheid op grond van art. 6:162 BW moet voor iedere bestuurder afzonderlijk worden beoordeeld of hem persoonlijk een ernstig verwijt valt te maken. Collegiale verantwoordelijkheid (art. 2:9 BW) en schending van normen van financieel recht (art. 3 en 7 (oud) Wte 1995) kunnen bij die beoordeling betrokken worden. De Ontvanger/Roelofsen-maatstaf (HR 2006) staat voorop, bevestigd door Hezemans Air en RCI (beide HR 5 september 2014).</t>
        </is>
      </c>
      <c r="G157" s="9" t="inlineStr">
        <is>
          <t>Financieel recht. Onrechtmatige daad. Bestuurdersaansprakelijkheid (art. 6:162 BW). Vervolg op HR 17 december 2010, ECLI:NL:HR:2010:BO1979, NJ 2011/8. Invloed collegiale verantwoordelijkheid van bestuurders (art. 2:9 BW) op persoonlijk ernstig verwijt als bestuurder. Betekenis van schending van normen van financieel recht (art. 3 en 7 (oud) Wte 1995).</t>
        </is>
      </c>
      <c r="H157" s="9" t="inlineStr">
        <is>
          <t>NJ 2018/330 m.nt. P. van Schilfgaarde. Bevestigt individuele toetsing van het ernstig verwijt. Zie syllabus p. 106.</t>
        </is>
      </c>
      <c r="I157" s="9" t="inlineStr">
        <is>
          <t>HR 30 maart 2018, ECLI:NL:HR:2018:470 (TMF)</t>
        </is>
      </c>
      <c r="J157" s="9" t="inlineStr"/>
      <c r="K157" s="9" t="inlineStr"/>
    </row>
    <row r="158" ht="96" customHeight="1">
      <c r="A158" s="9" t="inlineStr">
        <is>
          <t>card_157</t>
        </is>
      </c>
      <c r="B158" s="9" t="inlineStr">
        <is>
          <t>11</t>
        </is>
      </c>
      <c r="C158" s="9" t="inlineStr">
        <is>
          <t>Hof Den Haag 15 juni 2021</t>
        </is>
      </c>
      <c r="D158" s="9" t="inlineStr">
        <is>
          <t>arrest</t>
        </is>
      </c>
      <c r="E158" s="9" t="inlineStr">
        <is>
          <t>Kan een bestuurder rechtstreeks aansprakelijk zijn op grond van art. 6:193a e.v. BW (oneerlijke handelspraktijken)?</t>
        </is>
      </c>
      <c r="F158" s="9" t="inlineStr">
        <is>
          <t>Nee - niet rechtstreeks. Een bestuurder kan wél persoonlijk aansprakelijk zijn voor een misleidend prospectus op grond van art. 6:162 BW, mits hem persoonlijk een ernstig verwijt kan worden gemaakt. Dat is het geval als de bestuurder wist, althans behoorde te weten, dat de onjuiste/onvolledige mededelingen tot een misleidende voorstelling zouden leiden en voor hem voorzienbaar was dat beleggers daardoor nadeel zouden ondervinden (Ontvanger/Roelofsen-maatstaf).</t>
        </is>
      </c>
      <c r="G158" s="9" t="inlineStr">
        <is>
          <t>Het is juist dat een bestuurder niet rechtstreeks aansprakelijk gehouden kan worden op grond van art. 6:193a e.v. BW (oneerlijke handelspraktijken). Dit laat echter onverlet dat een bestuurder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 en voor hem voorzienbaar was dat de beleggers c.q. schuldeisers door deze mededelingen nadeel zouden ondervinden.</t>
        </is>
      </c>
      <c r="H158" s="9" t="inlineStr">
        <is>
          <t>JOR 2021/267 m.nt. B.J. de Jong. Bouwt voort op Ontvanger/Roelofsen (HR 2006) en RCI (HR 2014). Zie huiswerkcasus Klarna vraag d.</t>
        </is>
      </c>
      <c r="I158" s="9" t="inlineStr">
        <is>
          <t>Hof Den Haag 15 juni 2021, ECLI:NL:GHDHA:2021:1235, JOR 2021/267 m.nt. B.J. de Jong</t>
        </is>
      </c>
      <c r="J158" s="9" t="inlineStr"/>
      <c r="K158" s="9" t="inlineStr"/>
    </row>
    <row r="159" ht="96" customHeight="1">
      <c r="A159" s="9" t="inlineStr">
        <is>
          <t>card_158</t>
        </is>
      </c>
      <c r="B159" s="9" t="inlineStr">
        <is>
          <t>11</t>
        </is>
      </c>
      <c r="C159" s="9" t="inlineStr">
        <is>
          <t>Arons, Prospectus: plicht en aansprakelijkheid</t>
        </is>
      </c>
      <c r="D159" s="9" t="inlineStr">
        <is>
          <t>rechtsleer</t>
        </is>
      </c>
      <c r="E159" s="9" t="inlineStr">
        <is>
          <t>Wat is de kerngedachte van Arons in 'Prospectus: plicht en aansprakelijkheid' over de verhouding nationaal recht en Prospectusverordening?</t>
        </is>
      </c>
      <c r="F159" s="9" t="inlineStr">
        <is>
          <t>Arons betoogt dat de Prospectusverordening slechts marginale harmonisatie van aansprakelijkheid oplevert: het nationale recht bepaalt wie verantwoordelijk en aansprakelijk is. In Nederland gelden art. 6:194 e.v. BW (B2B) en art. 6:193a e.v. BW (B2C) als species van art. 6:162 BW, met een dubbele omkering van bewijslast (misleidend karakter en toerekenbaarheid) op grond van art. 6:195/193j BW. De lead manager heeft een due-diligenceplicht en een bijzondere zorgplicht richting derden.</t>
        </is>
      </c>
      <c r="G159" s="9" t="inlineStr">
        <is>
          <t>Het harmoniserend effect van de Prospectusrichtlijn met betrekking tot prospectusaansprakelijkheid is echter marginaal. (...) Met betrekking tot prospectusaansprakelijkheid is er derhalve geen sprake van een Europees 'level playing field'.</t>
        </is>
      </c>
      <c r="H159" s="9" t="inlineStr">
        <is>
          <t>Kernliteratuur syllabus p. 132-188. Financieel Juridische Reeks deel 18, Zutphen: Paris. ISBN 9789462512313.</t>
        </is>
      </c>
      <c r="I159" s="9" t="inlineStr">
        <is>
          <t>T.M.C. Arons, Prospectus: plicht en aansprakelijkheid, Financieel Juridische Reeks 18, Zutphen: Paris, p. 63-121</t>
        </is>
      </c>
      <c r="J159" s="9" t="inlineStr"/>
      <c r="K159" s="9" t="inlineStr"/>
    </row>
    <row r="160" ht="96" customHeight="1">
      <c r="A160" s="9" t="inlineStr">
        <is>
          <t>card_159</t>
        </is>
      </c>
      <c r="B160" s="9" t="inlineStr">
        <is>
          <t>11</t>
        </is>
      </c>
      <c r="C160" s="9" t="inlineStr">
        <is>
          <t>Casus Klarna - vraag a</t>
        </is>
      </c>
      <c r="D160" s="9" t="inlineStr">
        <is>
          <t>casus</t>
        </is>
      </c>
      <c r="E160" s="9" t="inlineStr">
        <is>
          <t>Klarna (Nederlandse NV) gaat naar de beurs; particuliere én professionele beleggers kunnen inschrijven. Op wie moet Klarna zich richten bij het bepalen van de in het prospectus op te nemen informatie?</t>
        </is>
      </c>
      <c r="F160" s="9" t="inlineStr">
        <is>
          <t>De uitgevende instelling moet zich richten op de 'maatman-belegger': de gemiddeld geïnformeerde, omzichtige en oplettende gewone belegger (World Online, r.o. 4.10). Het criterium is geobjectiveerd: de belegger moet op basis van art. 6 Prospectusverordening zich een geïnformeerd oordeel kunnen vormen over vermogen, financiële positie, resultaten en vooruitzichten. Dat zowel particuliere als professionele beleggers kunnen inschrijven, betekent niet dat op de professionele belegger een hogere maatstaf mag worden gelegd (MeesPierson/Boterenbrood); de laagste relevante maatman (de particuliere belegger) is maatgevend.</t>
        </is>
      </c>
      <c r="G160" s="9" t="inlineStr">
        <is>
          <t>Het misleidingscriterium is afgestemd op de vermoedelijke verwachting van de gemiddeld geïnformeerde, omzichtige en oplettende gewone belegger.</t>
        </is>
      </c>
      <c r="H160" s="9" t="inlineStr">
        <is>
          <t>Huiswerkcasus Klarna, vraag a. Kernarrest: World Online (r.o. 4.10). Ondersteunende bron: MeesPierson/Boterenbrood (card_152).</t>
        </is>
      </c>
      <c r="I160" s="9" t="inlineStr">
        <is>
          <t>Huiswerkopdracht Arons 2026, vraag a</t>
        </is>
      </c>
      <c r="J160" s="9" t="inlineStr"/>
      <c r="K160" s="9" t="inlineStr"/>
    </row>
    <row r="161" ht="96" customHeight="1">
      <c r="A161" s="9" t="inlineStr">
        <is>
          <t>card_160</t>
        </is>
      </c>
      <c r="B161" s="9" t="inlineStr">
        <is>
          <t>11</t>
        </is>
      </c>
      <c r="C161" s="9" t="inlineStr">
        <is>
          <t>Casus Klarna - vraag b</t>
        </is>
      </c>
      <c r="D161" s="9" t="inlineStr">
        <is>
          <t>casus</t>
        </is>
      </c>
      <c r="E161" s="9" t="inlineStr">
        <is>
          <t>Op welke partij rust de bewijslast over de juistheid en volledigheid van het prospectus in het geschil Klarna/banken vs. professionele belegger?</t>
        </is>
      </c>
      <c r="F161" s="9" t="inlineStr">
        <is>
          <t>De professionele belegger ageert (na 15 oktober 2008) op grond van art. 6:194 BW. Dankzij de dubbele omkering van art. 6:195 BW rust de bewijslast omtrent zowel het juistheid/volledigheid-karakter als de toerekenbaarheid op Klarna en de begeleidende banken, mits zij de inhoud en inkleding van de mededelingen (geheel of ten dele) hebben bepaald of laten bepalen. De belegger moet gemotiveerd stellen dat het prospectus tekortschiet (stelplicht, ABN AMRO/Coop, card_151); vervolgens verschuift de bewijslast.</t>
        </is>
      </c>
      <c r="G161" s="9" t="inlineStr">
        <is>
          <t>Het was aan de vereniging te stellen dat en waarom de prospectussen tekortschoten in juistheid of volledigheid van de mededelingen die daarin zijn vervat. Heeft zij aan die stelplicht voldaan dan rust vervolgens, ingevolge het bepaalde bij art. 1416b, in beginsel op de bank de bewijslast van de juistheid of volledigheid van die mededelingen.</t>
        </is>
      </c>
      <c r="H161" s="9" t="inlineStr">
        <is>
          <t>Huiswerkcasus Klarna, vraag b. Bewijsregime: art. 6:194 jo. 6:195 BW; ABN AMRO/Coop (card_151).</t>
        </is>
      </c>
      <c r="I161" s="9" t="inlineStr">
        <is>
          <t>Huiswerkopdracht Arons 2026, vraag b</t>
        </is>
      </c>
      <c r="J161" s="9" t="inlineStr"/>
      <c r="K161" s="9" t="inlineStr"/>
    </row>
    <row r="162" ht="96" customHeight="1">
      <c r="A162" s="9" t="inlineStr">
        <is>
          <t>card_161</t>
        </is>
      </c>
      <c r="B162" s="9" t="inlineStr">
        <is>
          <t>11</t>
        </is>
      </c>
      <c r="C162" s="9" t="inlineStr">
        <is>
          <t>Casus Klarna - vraag c</t>
        </is>
      </c>
      <c r="D162" s="9" t="inlineStr">
        <is>
          <t>casus</t>
        </is>
      </c>
      <c r="E162" s="9" t="inlineStr">
        <is>
          <t>Kunnen de begeleidende banken aansprakelijk zijn voor uitlatingen van de oud-CFO tijdens een roadshow?</t>
        </is>
      </c>
      <c r="F162" s="9" t="inlineStr">
        <is>
          <t>Ja, op twee mogelijke gronden. (1) Bijzondere zorgplicht lead manager (World Online, card_149): onder omstandigheden moeten banken verwarrende of onjuiste uitlatingen van bestuurders buiten het prospectus corrigeren door een openbare mededeling. Laten zij dat na, dan handelen zij onrechtmatig (art. 6:162 BW). (2) Als de roadshow-uitlatingen kwalificeren als 'handelspraktijk' waarvan de bank de inhoud geheel of ten dele heeft bepaald (art. 6:195 BW), kan ook langs die weg aansprakelijkheid volgen met dubbele omkering van bewijslast. Beperking: Lipstick Effect (card_153) beperkt de corrigeerplicht bij reeds in het prospectus gemelde verkoop.</t>
        </is>
      </c>
      <c r="G162" s="9"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t>
        </is>
      </c>
      <c r="H162" s="9" t="inlineStr">
        <is>
          <t>Huiswerkcasus Klarna, vraag c. Bijzondere zorgplicht lead manager; afweging met Lipstick (Hof A'dam 2004).</t>
        </is>
      </c>
      <c r="I162" s="9" t="inlineStr">
        <is>
          <t>Huiswerkopdracht Arons 2026, vraag c</t>
        </is>
      </c>
      <c r="J162" s="9" t="inlineStr"/>
      <c r="K162" s="9" t="inlineStr"/>
    </row>
    <row r="163" ht="96" customHeight="1">
      <c r="A163" s="9" t="inlineStr">
        <is>
          <t>card_162</t>
        </is>
      </c>
      <c r="B163" s="9" t="inlineStr">
        <is>
          <t>11</t>
        </is>
      </c>
      <c r="C163" s="9" t="inlineStr">
        <is>
          <t>Casus Klarna - vraag d</t>
        </is>
      </c>
      <c r="D163" s="9" t="inlineStr">
        <is>
          <t>casus</t>
        </is>
      </c>
      <c r="E163" s="9" t="inlineStr">
        <is>
          <t>Kan de oprichter/oud-CFO van Klarna aansprakelijk zijn, en zo ja, op welke grond(en)?</t>
        </is>
      </c>
      <c r="F163" s="9" t="inlineStr">
        <is>
          <t>Ja. Drie mogelijke grondslagen: (1) Art. 6:162 BW met Ontvanger/Roelofsen-maatstaf: de oud-CFO kan persoonlijk aansprakelijk zijn voor een misleidend prospectus als hem een persoonlijk ernstig verwijt treft - hij wist of behoorde te weten dat de onjuiste/onvolledige mededelingen tot misleiding zouden leiden en voor hem was voorzienbaar dat beleggers daardoor nadeel zouden ondervinden (Hof Den Haag 2021, card_157). (2) Art. 6:193a e.v. BW: niet rechtstreeks (Hof Den Haag 2021), maar voor zover hij buiten zijn functie is opgetreden (bij roadshow/interview) kan hij als zelfstandig 'handelaar' kwalificeren (Arons-syllabus §3). (3) Zijn rol als verkopende oud-aandeelhouder kan bijdragen aan onrechtmatigheid - verkoop zonder volledige openheid over (vooruitzichten) bedrijf.</t>
        </is>
      </c>
      <c r="G163" s="9" t="inlineStr">
        <is>
          <t>Een bestuurder [kan]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t>
        </is>
      </c>
      <c r="H163" s="9" t="inlineStr">
        <is>
          <t>Huiswerkcasus Klarna, vraag d. Let op: de oud-CFO verkocht bij beursgang een belangrijk deel van zijn aandelen - relevant voor de voorzienbaarheid van nadeel.</t>
        </is>
      </c>
      <c r="I163" s="9" t="inlineStr">
        <is>
          <t>Huiswerkopdracht Arons 2026, vraag d; Hof Den Haag 15 juni 2021, ECLI:NL:GHDHA:2021:1235</t>
        </is>
      </c>
      <c r="J163" s="9" t="inlineStr"/>
      <c r="K163" s="9" t="inlineStr"/>
    </row>
    <row r="164" ht="96" customHeight="1">
      <c r="A164" s="9" t="inlineStr">
        <is>
          <t>card_163</t>
        </is>
      </c>
      <c r="B164" s="9" t="inlineStr">
        <is>
          <t>11</t>
        </is>
      </c>
      <c r="C164" s="9" t="inlineStr">
        <is>
          <t>T&amp;C BW art. 6:193a-j en 6:194-195</t>
        </is>
      </c>
      <c r="D164" s="9" t="inlineStr">
        <is>
          <t>rechtsleer</t>
        </is>
      </c>
      <c r="E164" s="9" t="inlineStr">
        <is>
          <t>Wat is de systematische verhouding tussen art. 6:193a-j BW (Wet OHP) en art. 6:194-196 BW volgens Tekst en Commentaar?</t>
        </is>
      </c>
      <c r="F164" s="9" t="inlineStr">
        <is>
          <t>Beide regimes zijn species van art. 6:162 BW. Art. 6:193a-j BW geldt B2C (consument-belegger), art. 6:194 e.v. BW geldt B2B (professionele belegger). Beide kennen dezelfde systematiek: onrechtmatigheid via misleidende handelspraktijk (art. 6:193c/194 BW) of omissie (art. 6:193d BW), dubbele omkering van bewijslast (art. 6:193j/195 BW), en - alleen voor consumenten - de mogelijkheid van vernietiging (art. 6:193j lid 3 BW). Of de uitwerking exact dezelfde is, moet in de praktijk blijken.</t>
        </is>
      </c>
      <c r="G164" s="9" t="inlineStr">
        <is>
          <t>Hoewel deze bepalingen een soortgelijke systematiek hebben als de artt. 6:194 e.v. BW, zal in de praktijk nog moeten blijken of hun uitwerking exact dezelfde is. De Wet OHP verklaart het verrichten van een oneerlijke handelspraktijk onrechtmatig jegens consumenten (art. 6:193b BW).</t>
        </is>
      </c>
      <c r="H164" s="9" t="inlineStr">
        <is>
          <t>Tekst en Commentaar Burgerlijk Wetboek (online), commentaar bij art. 6:193a t/m 193j en 6:194/6:195. Wolters Kluwer. Syllabus p. 189.</t>
        </is>
      </c>
      <c r="I164" s="9" t="inlineStr">
        <is>
          <t>Tekst en Commentaar BW (online), commentaar bij art. 6:193a-j en 6:194-195</t>
        </is>
      </c>
      <c r="J164" s="9" t="inlineStr"/>
      <c r="K164" s="9" t="inlineStr"/>
    </row>
    <row r="165" ht="96" customHeight="1">
      <c r="A165" s="10" t="inlineStr">
        <is>
          <t>card_164</t>
        </is>
      </c>
      <c r="B165" s="10" t="inlineStr">
        <is>
          <t>19</t>
        </is>
      </c>
      <c r="C165" s="10" t="inlineStr">
        <is>
          <t>Art. 3:306 BW</t>
        </is>
      </c>
      <c r="D165" s="10" t="inlineStr">
        <is>
          <t>wetsartikel</t>
        </is>
      </c>
      <c r="E165" s="10" t="inlineStr">
        <is>
          <t>Wat is de algemene (lange) verjaringstermijn voor rechtsvorderingen en waar vindt zij haar grondslag?</t>
        </is>
      </c>
      <c r="F165" s="10" t="inlineStr">
        <is>
          <t>Indien de wet niet anders bepaalt, verjaart een rechtsvordering door verloop van twintig jaar. Dit is de residuaire verjaringstermijn die geldt wanneer geen bijzondere (kortere) verjaringstermijn van toepassing is (zoals art. 3:307, 3:308, 3:309 of 3:310 BW).</t>
        </is>
      </c>
      <c r="G165" s="10" t="inlineStr">
        <is>
          <t>Indien de wet niet anders bepaalt, verjaart een rechtsvordering door verloop van twintig jaren.</t>
        </is>
      </c>
      <c r="H165" s="10" t="inlineStr">
        <is>
          <t>Hoofdregel uit Boek 3, Titel 11 BW. Vormt het vangnet voor verjaring als geen specifieker regime van toepassing is.</t>
        </is>
      </c>
      <c r="I165" s="10" t="inlineStr">
        <is>
          <t>Art. 3:306 BW</t>
        </is>
      </c>
      <c r="J165" s="10" t="inlineStr"/>
      <c r="K165" s="10" t="inlineStr"/>
    </row>
    <row r="166" ht="96" customHeight="1">
      <c r="A166" s="10" t="inlineStr">
        <is>
          <t>card_165</t>
        </is>
      </c>
      <c r="B166" s="10" t="inlineStr">
        <is>
          <t>19</t>
        </is>
      </c>
      <c r="C166" s="10" t="inlineStr">
        <is>
          <t>Art. 3:307 BW</t>
        </is>
      </c>
      <c r="D166" s="10" t="inlineStr">
        <is>
          <t>wetsartikel</t>
        </is>
      </c>
      <c r="E166" s="10" t="inlineStr">
        <is>
          <t>Welke verjaringstermijn geldt voor een vordering tot nakoming van een verbintenis uit overeenkomst tot een geven of doen?</t>
        </is>
      </c>
      <c r="F166" s="10" t="inlineStr">
        <is>
          <t>Vijf jaar na de dag volgend op die waarop de vordering opeisbaar is geworden (art. 3:307 lid 1 BW). Bij onbepaalde tijd van nakoming loopt de termijn pas vanaf de dag volgende op die waartegen opeising is gedaan (lid 2), met een maximum van twintig jaar na het ontstaan van de verbintenis.</t>
        </is>
      </c>
      <c r="G166" s="10" t="inlineStr">
        <is>
          <t>Een rechtsvordering tot nakoming van een verbintenis uit overeenkomst tot een geven of doen verjaart door verloop van vijf jaren na de aanvang van de dag, volgende op die waarop de vordering opeisbaar is geworden.</t>
        </is>
      </c>
      <c r="H166" s="10" t="inlineStr">
        <is>
          <t>Standaardtermijn voor contractuele nakomingsvorderingen. Zie HR 13 februari 2026, ECLI:NL:HR:2026:231 (vordering uit hypothecaire geldlening).</t>
        </is>
      </c>
      <c r="I166" s="10" t="inlineStr">
        <is>
          <t>Art. 3:307 BW</t>
        </is>
      </c>
      <c r="J166" s="10" t="inlineStr"/>
      <c r="K166" s="10" t="inlineStr"/>
    </row>
    <row r="167" ht="96" customHeight="1">
      <c r="A167" s="10" t="inlineStr">
        <is>
          <t>card_166</t>
        </is>
      </c>
      <c r="B167" s="10" t="inlineStr">
        <is>
          <t>19</t>
        </is>
      </c>
      <c r="C167" s="10" t="inlineStr">
        <is>
          <t>Art. 3:308 BW</t>
        </is>
      </c>
      <c r="D167" s="10" t="inlineStr">
        <is>
          <t>wetsartikel</t>
        </is>
      </c>
      <c r="E167" s="10" t="inlineStr">
        <is>
          <t>Wanneer gaat de verjaringstermijn voor een vordering tot periodiek verschuldigde betaling (bijv. pensioenpremie, huur) lopen?</t>
        </is>
      </c>
      <c r="F167" s="10" t="inlineStr">
        <is>
          <t>Vijf jaar na de aanvang van de dag volgend op die waarop de vordering opeisbaar is geworden. Bij een bedrijfstakpensioenpremievordering is de vordering volgens HR 27 september 2024 opeisbaar zodra de wettelijke termijn voor aanlevering van loongegevens is verstreken (art. 26 Pw), niet pas na factureren.</t>
        </is>
      </c>
      <c r="G167" s="10" t="inlineStr">
        <is>
          <t>Een rechtsvordering tot betaling van renten van geldsommen, van lijfrenten, van dividenden, van huren, van pachten en van al hetgeen verder bij het jaar of een kortere termijn moet worden betaald, verjaart door verloop van vijf jaren na de aanvang van de dag, volgende op die waarop de vordering opeisbaar is geworden.</t>
        </is>
      </c>
      <c r="H167" s="10" t="inlineStr">
        <is>
          <t>Zie HR 27 september 2024, ECLI:NL:HR:2024:1311, NJ 2025/147 m.nt. M. Heemskerk (pensioenpremie/Stichting Pensioenfonds). Vervolg op HR 9 april 2021.</t>
        </is>
      </c>
      <c r="I167" s="10" t="inlineStr">
        <is>
          <t>Art. 3:308 BW</t>
        </is>
      </c>
      <c r="J167" s="10" t="inlineStr"/>
      <c r="K167" s="10" t="inlineStr"/>
    </row>
    <row r="168" ht="96" customHeight="1">
      <c r="A168" s="10" t="inlineStr">
        <is>
          <t>card_167</t>
        </is>
      </c>
      <c r="B168" s="10" t="inlineStr">
        <is>
          <t>19</t>
        </is>
      </c>
      <c r="C168" s="10" t="inlineStr">
        <is>
          <t>Art. 3:309 BW</t>
        </is>
      </c>
      <c r="D168" s="10" t="inlineStr">
        <is>
          <t>wetsartikel</t>
        </is>
      </c>
      <c r="E168" s="10" t="inlineStr">
        <is>
          <t>Wat is het aanvangsmoment van de verjaringstermijn voor een vordering uit onverschuldigde betaling?</t>
        </is>
      </c>
      <c r="F168" s="10" t="inlineStr">
        <is>
          <t>Vijf jaar na de aanvang van de dag volgend op die waarop de schuldeiser met het bestaan van zijn vordering én met de persoon van de ontvanger bekend is geworden (en in elk geval twintig jaar nadat de vordering is ontstaan). Bij onverschuldigde periodieke betalingen ontstaat telkens per betaling een zelfstandige vordering die afzonderlijk verjaart (HR 16 mei 2025, SnowWorld).</t>
        </is>
      </c>
      <c r="G168" s="10" t="inlineStr">
        <is>
          <t>Een rechtsvordering uit onverschuldigde betaling verjaart door verloop van vijf jaren na de aanvang van de dag, volgende op die waarop de schuldeiser zowel met het bestaan van zijn vordering als met de persoon van de ontvanger is bekend geworden en in ieder geval twintig jaren nadat de vordering is ontstaan.</t>
        </is>
      </c>
      <c r="H168" s="10" t="inlineStr">
        <is>
          <t>Ook relevant voor effectenleasezaken (Dexia) en periodiek afgetrokken liquiditeitspremies (SnowWorld).</t>
        </is>
      </c>
      <c r="I168" s="10" t="inlineStr">
        <is>
          <t>Art. 3:309 BW</t>
        </is>
      </c>
      <c r="J168" s="10" t="inlineStr"/>
      <c r="K168" s="10" t="inlineStr"/>
    </row>
    <row r="169" ht="96" customHeight="1">
      <c r="A169" s="10" t="inlineStr">
        <is>
          <t>card_168</t>
        </is>
      </c>
      <c r="B169" s="10" t="inlineStr">
        <is>
          <t>19</t>
        </is>
      </c>
      <c r="C169" s="10" t="inlineStr">
        <is>
          <t>Art. 3:310 lid 1 BW</t>
        </is>
      </c>
      <c r="D169" s="10" t="inlineStr">
        <is>
          <t>wetsartikel</t>
        </is>
      </c>
      <c r="E169" s="10" t="inlineStr">
        <is>
          <t>Welke dubbele termijn geldt voor vorderingen tot schadevergoeding wegens onrechtmatige daad of wanprestatie, en wat is het bekendheidscriterium?</t>
        </is>
      </c>
      <c r="F169" s="10" t="inlineStr">
        <is>
          <t>Korte termijn: vijf jaar nadat de benadeelde daadwerkelijk bekend is met de schade én met de aansprakelijke persoon. Lange termijn: twintig jaar na de gebeurtenis waardoor de schade is veroorzaakt. 'Daadwerkelijke bekendheid' betekent - conform HR 31 maart 2003 (Saelman) en HR 6 april 2012 (ASR/Achmea) - dat de benadeelde voldoende zekerheid (geen absolute zekerheid) heeft verkregen dat de schade is veroorzaakt door tekortschietend of foutief handelen.</t>
        </is>
      </c>
      <c r="G169" s="10" t="inlineStr">
        <is>
          <t>Een rechtsvordering tot vergoeding van schade of tot betaling van een bedongen boete verjaart door verloop van vijf jaren na de aanvang van de dag, volgende op die waarop de benadeelde zowel met de schade of de opeisbaarheid van de boete als met de daarvoor aansprakelijke persoon bekend is geworden, en in ieder geval door verloop van twintig jaren na de gebeurtenis waardoor de schade is veroorzaakt of de boete opeisbaar is geworden.</t>
        </is>
      </c>
      <c r="H169" s="10" t="inlineStr">
        <is>
          <t>Aanvangsmoment is geobjectiveerd maar tegelijk subjectief. Zie HR 9 oktober 2020 (wetenschap bestuurder toegerekend aan rechtspersoon) en HR 11 september 2020 (belastingadvies, kennis en inzicht).</t>
        </is>
      </c>
      <c r="I169" s="10" t="inlineStr">
        <is>
          <t>Art. 3:310 lid 1 BW</t>
        </is>
      </c>
      <c r="J169" s="10" t="inlineStr"/>
      <c r="K169" s="10" t="inlineStr"/>
    </row>
    <row r="170" ht="96" customHeight="1">
      <c r="A170" s="10" t="inlineStr">
        <is>
          <t>card_169</t>
        </is>
      </c>
      <c r="B170" s="10" t="inlineStr">
        <is>
          <t>19</t>
        </is>
      </c>
      <c r="C170" s="10" t="inlineStr">
        <is>
          <t>Art. 3:316 lid 1 en 2 BW</t>
        </is>
      </c>
      <c r="D170" s="10" t="inlineStr">
        <is>
          <t>wetsartikel</t>
        </is>
      </c>
      <c r="E170" s="10" t="inlineStr">
        <is>
          <t>Hoe stuit een eis in rechte de verjaringstermijn en wat is de aanvullende regel van lid 2?</t>
        </is>
      </c>
      <c r="F170" s="10" t="inlineStr">
        <is>
          <t>Lid 1: verjaring wordt gestuit door het instellen van een eis (dagvaarding) of iedere andere daad van rechtsvervolging van de kant van de gerechtigde. Lid 2: indien een eis niet tot toewijzing leidt (afgewezen, ingetrokken, niet-ontvankelijk), is de verjaring slechts gestuit als binnen zes maanden na einde van die procedure opnieuw een eis of andere daad van rechtsvervolging is verricht die wél tot toewijzing leidt.</t>
        </is>
      </c>
      <c r="G170" s="10" t="inlineStr">
        <is>
          <t>Een verjaring van een rechtsvordering wordt gestuit door het instellen van een eis, alsmede door iedere andere daad van rechtsvervolging van de zijde van de gerechtigde, die in de vereiste vorm geschiedt. (...) Leidt een ingestelde eis niet tot toewijzing, dan is de verjaring slechts gestuit, indien binnen zes maanden na einde van het geding een nieuwe eis wordt ingesteld en deze tot toewijzing leidt.</t>
        </is>
      </c>
      <c r="H170" s="10" t="inlineStr">
        <is>
          <t>Zie casus 2 (Mark &amp; Anne/DonKey): na afloop van de procedure van de buren moeten Mark en Anne binnen 6 maanden aansluiting zoeken? Vergelijk HR 27 september 2024 (collectieve actie art. 3:305a BW).</t>
        </is>
      </c>
      <c r="I170" s="10" t="inlineStr">
        <is>
          <t>Art. 3:316 BW</t>
        </is>
      </c>
      <c r="J170" s="10" t="inlineStr"/>
      <c r="K170" s="10" t="inlineStr"/>
    </row>
    <row r="171" ht="96" customHeight="1">
      <c r="A171" s="10" t="inlineStr">
        <is>
          <t>card_170</t>
        </is>
      </c>
      <c r="B171" s="10" t="inlineStr">
        <is>
          <t>19</t>
        </is>
      </c>
      <c r="C171" s="10" t="inlineStr">
        <is>
          <t>Art. 3:317 BW</t>
        </is>
      </c>
      <c r="D171" s="10" t="inlineStr">
        <is>
          <t>wetsartikel</t>
        </is>
      </c>
      <c r="E171" s="10" t="inlineStr">
        <is>
          <t>Hoe stuit een schriftelijke aanmaning (buitengerechtelijk) een verjaring, en welke eisen stelt de HR aan die mededeling?</t>
        </is>
      </c>
      <c r="F171" s="10" t="inlineStr">
        <is>
          <t>Art. 3:317 lid 1 BW: de verjaring van een vordering tot nakoming wordt gestuit door een schriftelijke aanmaning of een schriftelijke mededeling waarin de schuldeiser zich ondubbelzinnig zijn recht op nakoming voorbehoudt. De mededeling moet voor de schuldenaar duidelijk maken waarvan hem betaling wordt gevorderd en dat de schuldeiser zich daarvoor zijn recht voorbehoudt. Door de stuiting begint een nieuwe verjaringstermijn van gelijke duur te lopen (art. 3:319 lid 1 BW).</t>
        </is>
      </c>
      <c r="G171" s="10" t="inlineStr">
        <is>
          <t>De verjaring van een rechtsvordering tot nakoming van een verbintenis wordt gestuit door een schriftelijke aanmaning of door een schriftelijke mededeling waarin de schuldeiser zich ondubbelzinnig zijn recht op nakoming voorbehoudt.</t>
        </is>
      </c>
      <c r="H171" s="10" t="inlineStr">
        <is>
          <t>Standaard-stuitingshandeling. Vgl. HR 18 september 2015 en HR 15 mei 2020 (voldoende concreet omschrijven welke vordering).</t>
        </is>
      </c>
      <c r="I171" s="10" t="inlineStr">
        <is>
          <t>Art. 3:317 lid 1 BW</t>
        </is>
      </c>
      <c r="J171" s="10" t="inlineStr"/>
      <c r="K171" s="10" t="inlineStr"/>
    </row>
    <row r="172" ht="96" customHeight="1">
      <c r="A172" s="10" t="inlineStr">
        <is>
          <t>card_171</t>
        </is>
      </c>
      <c r="B172" s="10" t="inlineStr">
        <is>
          <t>19</t>
        </is>
      </c>
      <c r="C172" s="10" t="inlineStr">
        <is>
          <t>Art. 3:318 BW</t>
        </is>
      </c>
      <c r="D172" s="10" t="inlineStr">
        <is>
          <t>wetsartikel</t>
        </is>
      </c>
      <c r="E172" s="10" t="inlineStr">
        <is>
          <t>Wanneer stuit erkenning door de schuldenaar de verjaring en wat betekent dat voor voorschotbetalingen door een verzekeraar?</t>
        </is>
      </c>
      <c r="F172" s="10" t="inlineStr">
        <is>
          <t>Erkenning van het recht van de schuldeiser door de schuldenaar stuit de verjaring. Volgens HR 26 januari 2018 (NJ 2018/461) kan erkenning door de WA-verzekeraar van de aansprakelijkheid met deelafwikkeling en voorschotbetalingen doorgaans gelden als stuiting van de gehele vordering - niet slechts van het afgewikkelde deel - tenzij de schuldenaar duidelijk heeft gemaakt geen verdere aansprakelijkheid te aanvaarden.</t>
        </is>
      </c>
      <c r="G172" s="10" t="inlineStr">
        <is>
          <t>Verjaring schadevordering van werknemer op werkgever. Stuiting van de verjaring door erkenning van aansprakelijkheid (art. 3:318 BW). Verzekeraar van werkgever erkent aansprakelijkheid en wikkelt schade gedeeltelijk af. Is vordering voor het overige nadien verjaard? Voorschotbetalingen door de verzekeraar; erkenning namens de werkgever van verdere aansprakelijkheid?</t>
        </is>
      </c>
      <c r="H172" s="10" t="inlineStr">
        <is>
          <t>HR 26 januari 2018, NJ 2018/461 m.nt. J.L. Smeehuijzen. Praktisch belangrijk voor letselschadezaken: wie betaalt, erkent.</t>
        </is>
      </c>
      <c r="I172" s="10" t="inlineStr">
        <is>
          <t>Art. 3:318 BW; HR 26 januari 2018, ECLI:NL:HR:2018:108</t>
        </is>
      </c>
      <c r="J172" s="10" t="inlineStr"/>
      <c r="K172" s="10" t="inlineStr"/>
    </row>
    <row r="173" ht="96" customHeight="1">
      <c r="A173" s="10" t="inlineStr">
        <is>
          <t>card_172</t>
        </is>
      </c>
      <c r="B173" s="10" t="inlineStr">
        <is>
          <t>19</t>
        </is>
      </c>
      <c r="C173" s="10" t="inlineStr">
        <is>
          <t>Art. 3:319 lid 1 BW</t>
        </is>
      </c>
      <c r="D173" s="10" t="inlineStr">
        <is>
          <t>wetsartikel</t>
        </is>
      </c>
      <c r="E173" s="10" t="inlineStr">
        <is>
          <t>Wat gebeurt er na een geslaagde stuiting van de verjaring?</t>
        </is>
      </c>
      <c r="F173" s="10" t="inlineStr">
        <is>
          <t>Door de stuiting begint met ingang van de volgende dag een nieuwe verjaringstermijn te lopen van gelijke duur als de oorspronkelijke, zij het met een maximum van vijf jaren. Is de oorspronkelijke termijn korter dan vijf jaar, dan geldt de oorspronkelijke termijn. De nieuwe termijn vervangt de oude - niet aanvullend.</t>
        </is>
      </c>
      <c r="G173" s="10" t="inlineStr">
        <is>
          <t>Door stuiting van de verjaring van een rechtsvordering, anders dan door het instellen van een eis die door toewijzing wordt gevolgd, begint een nieuwe verjaringstermijn te lopen met de aanvang van de volgende dag. De nieuwe verjaringstermijn is gelijk aan de oorspronkelijke, doch niet langer dan vijf jaren.</t>
        </is>
      </c>
      <c r="H173" s="10" t="inlineStr">
        <is>
          <t>Zie HR 27 september 2024: bij individuele aansluitvordering na collectieve actie ex art. 3:305a BW begint een nieuwe termijn te lopen op grond van art. 3:319 lid 1 BW, in plaats van (alleen) de zesmaandentermijn van art. 3:316 lid 2 BW.</t>
        </is>
      </c>
      <c r="I173" s="10" t="inlineStr">
        <is>
          <t>Art. 3:319 lid 1 BW</t>
        </is>
      </c>
      <c r="J173" s="10" t="inlineStr"/>
      <c r="K173" s="10" t="inlineStr"/>
    </row>
    <row r="174" ht="96" customHeight="1">
      <c r="A174" s="10" t="inlineStr">
        <is>
          <t>card_173</t>
        </is>
      </c>
      <c r="B174" s="10" t="inlineStr">
        <is>
          <t>19</t>
        </is>
      </c>
      <c r="C174" s="10" t="inlineStr">
        <is>
          <t>Art. 3:320 en 3:321 BW (verlengingsgronden)</t>
        </is>
      </c>
      <c r="D174" s="10" t="inlineStr">
        <is>
          <t>wetsartikel</t>
        </is>
      </c>
      <c r="E174" s="10" t="inlineStr">
        <is>
          <t>Wat zijn de verlengingsgronden van art. 3:320 jo. 3:321 BW en hoe werken zij bij bestuurdersaansprakelijkheid?</t>
        </is>
      </c>
      <c r="F174" s="10" t="inlineStr">
        <is>
          <t>Art. 3:320 BW verlengt een verjaringstermijn die anders zou eindigen tijdens het bestaan van een verlengingsgrond, tot zes maanden nadat die grond is geëindigd. De gronden staan in art. 3:321 BW: onder lid 1(d) vallen vorderingen tussen rechtspersonen en hun bestuurders. Volgens HR 9 oktober 2020 betekent dit dat bij belangenverstrengeling van een bestuurder diens wetenschap van een onrechtmatige daad niet zonder meer aan de rechtspersoon wordt toegerekend voor de aanvang van art. 3:310 lid 1 BW.</t>
        </is>
      </c>
      <c r="G174" s="10" t="inlineStr">
        <is>
          <t>Onrechtmatige daad, verjaring. Aanvang verjaringstermijn (art. 3:310 lid 1 BW). Geldt wetenschap van bestuurder van benadeelde rechtspersoon ten aanzien van de onrechtmatige daad van een derde als wetenschap van de rechtspersoon? Belangenverstrengeling van bestuurder. Verlengingsgrond voor verjaring tussen rechtspersonen en hun bestuurders (art. 3:320 en 3:321 lid 1, onder d, BW).</t>
        </is>
      </c>
      <c r="H174" s="10" t="inlineStr">
        <is>
          <t>HR 9 oktober 2020, ECLI:NL:HR:2020:1603, NJ 2021/187 m.nt. J.L. Smeehuijzen. AA20201056 m.nt. S.M. Bartman.</t>
        </is>
      </c>
      <c r="I174" s="10" t="inlineStr">
        <is>
          <t>Art. 3:320 jo. 3:321 lid 1(d) BW</t>
        </is>
      </c>
      <c r="J174" s="10" t="inlineStr"/>
      <c r="K174" s="10" t="inlineStr"/>
    </row>
    <row r="175" ht="96" customHeight="1">
      <c r="A175" s="10" t="inlineStr">
        <is>
          <t>card_174</t>
        </is>
      </c>
      <c r="B175" s="10" t="inlineStr">
        <is>
          <t>19</t>
        </is>
      </c>
      <c r="C175" s="10" t="inlineStr">
        <is>
          <t>Art. 3:323 en 3:324 BW</t>
        </is>
      </c>
      <c r="D175" s="10" t="inlineStr">
        <is>
          <t>wetsartikel</t>
        </is>
      </c>
      <c r="E175" s="10" t="inlineStr">
        <is>
          <t>Hoe verhoudt de verjaring van een rechtsvordering tot nakoming (hypothecaire geldlening) zich tot de verjaring van de bevoegdheid tot tenuitvoerlegging (executie)?</t>
        </is>
      </c>
      <c r="F175" s="10" t="inlineStr">
        <is>
          <t>De verjaring van de rechtsvordering tot nakoming loopt gewoon (art. 3:307 BW) maar kan worden gestuit door iedere daad van rechtsvervolging (art. 3:316 BW). Art. 3:323 lid 3 BW bepaalt dat stuiting van de verjaring van de rechtsvordering ook stuit de verjaring van de bevoegdheid tot tenuitvoerlegging van een veroordelend vonnis (art. 3:324 BW: twintig jaar). Volgens HR 13 februari 2026 (ECLI:NL:HR:2026:231) stuit maandelijkse inning uit executoriaal loonbeslag als 'daad van rechtsvervolging' de verjaring.</t>
        </is>
      </c>
      <c r="G175" s="10" t="inlineStr">
        <is>
          <t>Vermogensrecht. Verjaring. Vordering uit hypothecaire geldlening. Hypotheekrecht uitgewonnen. Stuiting door maandelijkse inning executoriaal loonbeslag? Daad van rechtsvervolging. Art. 3:307 BW. Art. 3:316 BW. Art. 3:323 lid 3 BW.</t>
        </is>
      </c>
      <c r="H175" s="10" t="inlineStr">
        <is>
          <t>Recente HR-toepassing van stuiting bij executoriale inning. Van belang voor de vraag of ná uitwinning van het hypotheekrecht nog steeds stuitingshandelingen mogelijk zijn.</t>
        </is>
      </c>
      <c r="I175" s="10" t="inlineStr">
        <is>
          <t>Art. 3:323 jo. 3:324 BW; HR 13 februari 2026, ECLI:NL:HR:2026:231</t>
        </is>
      </c>
      <c r="J175" s="10" t="inlineStr"/>
      <c r="K175" s="10" t="inlineStr"/>
    </row>
    <row r="176" ht="96" customHeight="1">
      <c r="A176" s="10" t="inlineStr">
        <is>
          <t>card_175</t>
        </is>
      </c>
      <c r="B176" s="10" t="inlineStr">
        <is>
          <t>19</t>
        </is>
      </c>
      <c r="C176" s="10" t="inlineStr">
        <is>
          <t>Art. 611g Rv (dwangsom)</t>
        </is>
      </c>
      <c r="D176" s="10" t="inlineStr">
        <is>
          <t>wetsartikel</t>
        </is>
      </c>
      <c r="E176" s="10" t="inlineStr">
        <is>
          <t>Wat is de verjaringstermijn voor verbeurde dwangsommen en hoe wordt deze gestuit?</t>
        </is>
      </c>
      <c r="F176" s="10" t="inlineStr">
        <is>
          <t>Art. 611g lid 1 Rv: een dwangsom verjaart door verloop van zes maanden na de dag waarop zij is verbeurd. Art. 611g lid 2 Rv verklaart art. 3:316 lid 1 BW van overeenkomstige toepassing (stuiting door rechtsvervolging). Volgens HR 20 december 2024 stuit ook een door de dwangsomschuldenaar aanhangig gemaakt executiegeschil die zesmaandentermijn, mits het geschil strekt tot vaststelling of de dwangsom is verbeurd.</t>
        </is>
      </c>
      <c r="G176" s="10" t="inlineStr">
        <is>
          <t>Procesrecht. Dwangsommen. Verjaring. Stuiting. Art. 611g lid 1 Rv. Art. 3:324 lid 1 BW. Stuit door dwangsomschuldenaar aanhangig gemaakt executiegeschil verjaringstermijn van art. 611g lid 1 Rv?</t>
        </is>
      </c>
      <c r="H176" s="10" t="inlineStr">
        <is>
          <t>HR 20 december 2024, ECLI:NL:HR:2024:1904, JOR 2025/119 m.nt. A. Steneker. Zie huiswerkcasus 1 (Boris/Margaret).</t>
        </is>
      </c>
      <c r="I176" s="10" t="inlineStr">
        <is>
          <t>Art. 611g Rv</t>
        </is>
      </c>
      <c r="J176" s="10" t="inlineStr"/>
      <c r="K176" s="10" t="inlineStr"/>
    </row>
    <row r="177" ht="96" customHeight="1">
      <c r="A177" s="10" t="inlineStr">
        <is>
          <t>card_176</t>
        </is>
      </c>
      <c r="B177" s="10" t="inlineStr">
        <is>
          <t>19</t>
        </is>
      </c>
      <c r="C177" s="10" t="inlineStr">
        <is>
          <t>Art. 3:52 BW</t>
        </is>
      </c>
      <c r="D177" s="10" t="inlineStr">
        <is>
          <t>wetsartikel</t>
        </is>
      </c>
      <c r="E177" s="10" t="inlineStr">
        <is>
          <t>Binnen welke termijn verjaart een rechtsvordering tot vernietiging van een rechtshandeling op grond van dwaling of een beschermingsbepaling zoals art. 1:88/89 BW?</t>
        </is>
      </c>
      <c r="F177" s="10" t="inlineStr">
        <is>
          <t>Drie jaar na de dag waarop de dwaling is ontdekt, resp. - bij art. 1:88/89 BW - de bevoegdheid tot vernietiging aan de niet-handelende echtgenoot ten dienste is komen te staan (art. 3:52 lid 1(c) BW). Volgens HR 18 juli 2025 is voldoende dat de echtgenoot daadwerkelijk bekend is met de overeenkomst zelf; niet is vereist dat hij wist of begreep vernietigingsbevoegd te zijn. Er is géén subjectieve bekendheid met de vernietigbaarheid nodig - anders dan bij art. 3:310 lid 1 BW.</t>
        </is>
      </c>
      <c r="G177" s="10" t="inlineStr">
        <is>
          <t>Geschil over vraag of vernietigingsbevoegdheid ex art. 1:88/1:89 BW m.b.t. door echtgenoot gesloten effectenleaseovereenkomst is verjaard (art. 3:52 BW). Is voldoende dat niet-handelende echtgenoot daadwerkelijk bekend is met effectenleaseovereenkomst of is ook vereist dat deze wist of begreep vernietigingsbevoegd te zijn? (...) Ten onrechte aangesloten bij ontwikkeling m.b.t. art. 3:310 lid 1 BW?</t>
        </is>
      </c>
      <c r="H177" s="10" t="inlineStr">
        <is>
          <t>HR 18 juli 2025, ECLI:NL:HR:2025:1168. Vervolg op HR 10 juli 2015, ECLI:NL:HR:2015:1866. Bevestigt onderscheid tussen verjaringsregimes.</t>
        </is>
      </c>
      <c r="I177" s="10" t="inlineStr">
        <is>
          <t>Art. 3:52 lid 1(c) BW</t>
        </is>
      </c>
      <c r="J177" s="10" t="inlineStr"/>
      <c r="K177" s="10" t="inlineStr"/>
    </row>
    <row r="178" ht="96" customHeight="1">
      <c r="A178" s="10" t="inlineStr">
        <is>
          <t>card_177</t>
        </is>
      </c>
      <c r="B178" s="10" t="inlineStr">
        <is>
          <t>19</t>
        </is>
      </c>
      <c r="C178" s="10" t="inlineStr">
        <is>
          <t>Art. 6:89 BW (klachtplicht)</t>
        </is>
      </c>
      <c r="D178" s="10" t="inlineStr">
        <is>
          <t>wetsartikel</t>
        </is>
      </c>
      <c r="E178" s="10" t="inlineStr">
        <is>
          <t>Wat is het toepassingsbereik van de klachtplicht van art. 6:89 BW en wanneer geldt hij niet?</t>
        </is>
      </c>
      <c r="F178" s="10" t="inlineStr">
        <is>
          <t>Art. 6:89 BW: de schuldeiser kan op een gebrek in de prestatie geen beroep meer doen, indien hij niet binnen bekwame tijd nadat hij het gebrek heeft ontdekt of redelijkerwijs had moeten ontdekken, bij de schuldenaar heeft geprotesteerd. Volgens HR 15 oktober 2021 is de klachtplicht niet van toepassing als de schuldenaar de overeengekomen prestatie in het geheel heeft nagelaten: dan is er geen gebrekkige prestatie waarover geklaagd moet worden (bevestiging HR 23 maart 2007 Brocacef).</t>
        </is>
      </c>
      <c r="G178" s="10" t="inlineStr">
        <is>
          <t>Verbintenissenrecht. Overeenkomst van opdracht. Toepassingsbereik klachtplicht (art. 6:89 BW) indien wordt nagelaten de overeengekomen prestatie te verrichten. HR 23 maart 2007, ECLI:NL:HR:2007:AZ3531 (Brocacef/[...]).</t>
        </is>
      </c>
      <c r="H178" s="10" t="inlineStr">
        <is>
          <t>HR 15 oktober 2021, ECLI:NL:HR:2021:1536, NJ 2021/335. Klachttermijn vervalt het vorderingsrecht; verjaring beperkt het slechts in tijd.</t>
        </is>
      </c>
      <c r="I178" s="10" t="inlineStr">
        <is>
          <t>Art. 6:89 BW; HR 15 oktober 2021, ECLI:NL:HR:2021:1536</t>
        </is>
      </c>
      <c r="J178" s="10" t="inlineStr"/>
      <c r="K178" s="10" t="inlineStr"/>
    </row>
    <row r="179" ht="96" customHeight="1">
      <c r="A179" s="10" t="inlineStr">
        <is>
          <t>card_178</t>
        </is>
      </c>
      <c r="B179" s="10" t="inlineStr">
        <is>
          <t>19</t>
        </is>
      </c>
      <c r="C179" s="10" t="inlineStr">
        <is>
          <t>Verval vs. verjaring</t>
        </is>
      </c>
      <c r="D179" s="10" t="inlineStr">
        <is>
          <t>rechtsleer</t>
        </is>
      </c>
      <c r="E179" s="10" t="inlineStr">
        <is>
          <t>Wat is het onderscheid tussen een vervaltermijn en een verjaringstermijn?</t>
        </is>
      </c>
      <c r="F179" s="10" t="inlineStr">
        <is>
          <t>Een vervaltermijn doet de vordering tenietgaan (vervalt van rechtswege) en moet door de rechter ambtshalve worden toegepast; hij is niet stuitbaar en niet onderhevig aan verlenging. Een verjaringstermijn ontneemt slechts het recht op nakoming door middel van rechtsvordering (de vordering blijft als natuurlijke verbintenis bestaan, art. 6:3 BW), wordt alleen op beroep toegepast, en kan worden gestuit (art. 3:316-3:318 BW) of verlengd (art. 3:320 BW). Contractuele klachttermijnen hebben doorgaans vervalwerking.</t>
        </is>
      </c>
      <c r="G179" s="10" t="inlineStr">
        <is>
          <t>Verval doet het recht teniet; verjaring geeft slechts een verweer tegen de rechtsvordering.</t>
        </is>
      </c>
      <c r="H179" s="10" t="inlineStr">
        <is>
          <t>Klassieke systematiek. Zie huiswerkcasus 3 (Sadiku/Groen): 2 maanden klachttermijn is vervaltermijn, de 4-jaar garantie is de uiterste vordertermijn.</t>
        </is>
      </c>
      <c r="I179" s="10" t="inlineStr">
        <is>
          <t>Boek 3, Titel 11 BW (verjaring) en art. 6:89 BW (klachtplicht/verval)</t>
        </is>
      </c>
      <c r="J179" s="10" t="inlineStr"/>
      <c r="K179" s="10" t="inlineStr"/>
    </row>
    <row r="180" ht="96" customHeight="1">
      <c r="A180" s="10" t="inlineStr">
        <is>
          <t>card_179</t>
        </is>
      </c>
      <c r="B180" s="10" t="inlineStr">
        <is>
          <t>19</t>
        </is>
      </c>
      <c r="C180" s="10" t="inlineStr">
        <is>
          <t>HR 12 januari 2024 (rentederivaat)</t>
        </is>
      </c>
      <c r="D180" s="10" t="inlineStr">
        <is>
          <t>arrest</t>
        </is>
      </c>
      <c r="E180" s="10" t="inlineStr">
        <is>
          <t>Welke maatstaf voor 'daadwerkelijke bekendheid' (art. 3:310 lid 1 BW) formuleerde HR 12 januari 2024 in de rentederivaten-zaak?</t>
        </is>
      </c>
      <c r="F180" s="10" t="inlineStr">
        <is>
          <t>Voor aanvang van de korte verjaringstermijn is daadwerkelijke bekendheid met de schade en de aansprakelijke persoon vereist. Geruststellende mededelingen van de wederpartij kunnen relevant zijn om te beoordelen of voldoende zekerheid bestond; hun afwezigheid is niet zonder meer beslissend. De Hoge Raad bevestigt dat de beoordeling contextueel is en rekening houdt met de deskundigheid van de cliënt en de inhoud van de settlement clause.</t>
        </is>
      </c>
      <c r="G180" s="10" t="inlineStr">
        <is>
          <t>Verbintenissenrecht; rentederivaat, kredietverhouding. Verjaring, art. 3:310 lid 1 BW, daadwerkelijke bekendheid met schade en aansprakelijke persoon, betekenis afwezigheid geruststellende mededelingen. Gebondenheid cliënt aan 'settlement clause', uitleg, beperkende werking van redelijkheid en billijkheid, art. 6:248 lid 2 BW, motivering.</t>
        </is>
      </c>
      <c r="H180" s="10" t="inlineStr">
        <is>
          <t>HR 12 januari 2024, ECLI:NL:HR:2024:19, JOR 2024/65 m.nt. J. Verstoep. Belangrijk voor financiële dienstverlening.</t>
        </is>
      </c>
      <c r="I180" s="10" t="inlineStr">
        <is>
          <t>HR 12 januari 2024, ECLI:NL:HR:2024:19, JOR 2024/65</t>
        </is>
      </c>
      <c r="J180" s="10" t="inlineStr"/>
      <c r="K180" s="10" t="inlineStr"/>
    </row>
    <row r="181" ht="96" customHeight="1">
      <c r="A181" s="10" t="inlineStr">
        <is>
          <t>card_180</t>
        </is>
      </c>
      <c r="B181" s="10" t="inlineStr">
        <is>
          <t>19</t>
        </is>
      </c>
      <c r="C181" s="10" t="inlineStr">
        <is>
          <t>HR 27 september 2024 (collectieve actie)</t>
        </is>
      </c>
      <c r="D181" s="10" t="inlineStr">
        <is>
          <t>arrest</t>
        </is>
      </c>
      <c r="E181" s="10" t="inlineStr">
        <is>
          <t>Hoe verhouden de zesmaandentermijn van art. 3:316 lid 2 BW en de stuitingsregel van art. 3:319 lid 1 BW zich tot individuele aansluitvorderingen na een toegewezen collectieve actie (art. 3:305a (oud) BW)?</t>
        </is>
      </c>
      <c r="F181" s="10" t="inlineStr">
        <is>
          <t>Volgens HR 27 september 2024 is de zesmaandentermijn van art. 3:316 lid 2 BW niet van toepassing op individuele schadevergoedingsvorderingen die aansluiten op een toegewezen collectieve verklaring voor recht. Voor die vorderingen begint op grond van art. 3:319 lid 1 BW een nieuwe verjaringstermijn te lopen. Betrokken gedupeerden hebben dus meer tijd dan zes maanden om zich aan te sluiten.</t>
        </is>
      </c>
      <c r="G181" s="10" t="inlineStr">
        <is>
          <t>Vermogensrecht. Verjaring. Collectieve actie op voet van art. 3:305a (oud) BW waarin verklaring voor recht is toegewezen. Geldt zesmaandentermijn van art. 3:316 lid 2 BW t.a.v. op collectieve actie aansluitende individuele vorderingen tot schadevergoeding of begint daarvoor op voet van art. 3:319 lid 1 BW nieuwe verjaringstermijn te lopen?</t>
        </is>
      </c>
      <c r="H181" s="10" t="inlineStr">
        <is>
          <t>HR 27 september 2024, ECLI:NL:HR:2024:1311, NJ 2025/69 m.nt. K.J.O. Jansen. JOR 2024/259 m.nt. C.W.M. Lieverse. Belangrijk voor WCAM/WAMCA-praktijk.</t>
        </is>
      </c>
      <c r="I181" s="10" t="inlineStr">
        <is>
          <t>HR 27 september 2024, ECLI:NL:HR:2024:1311, NJ 2025/69 m.nt. K.J.O. Jansen</t>
        </is>
      </c>
      <c r="J181" s="10" t="inlineStr"/>
      <c r="K181" s="10" t="inlineStr"/>
    </row>
    <row r="182" ht="96" customHeight="1">
      <c r="A182" s="10" t="inlineStr">
        <is>
          <t>card_181</t>
        </is>
      </c>
      <c r="B182" s="10" t="inlineStr">
        <is>
          <t>19</t>
        </is>
      </c>
      <c r="C182" s="10" t="inlineStr">
        <is>
          <t>HR 15 mei 2020 (mediation)</t>
        </is>
      </c>
      <c r="D182" s="10" t="inlineStr">
        <is>
          <t>arrest</t>
        </is>
      </c>
      <c r="E182" s="10" t="inlineStr">
        <is>
          <t>Kan deelname aan een mediationtraject op grond van de Wet implementatie richtlijn 2008/52/EG de verjaring stuiten?</t>
        </is>
      </c>
      <c r="F182" s="10" t="inlineStr">
        <is>
          <t>Ja - de HR bevestigt dat mediation in burgerlijke en handelszaken onder omstandigheden de verjaring van een vernietigingsvordering kan schorsen/stuiten op grond van de mediation-richtlijnwetgeving. De rechter moet dat ambtshalve toepassen (art. 25 Rv). Tevens bevat dit arrest regels voor niet-ontvankelijkheid wanneer niet alle partijen bij de overeenkomst zijn opgeroepen en voor herstelmogelijkheden ex art. 118 Rv.</t>
        </is>
      </c>
      <c r="G182" s="10" t="inlineStr">
        <is>
          <t>Procesrecht. Vernietiging meerpartijenovereenkomst. Verjaring. Is verjaring gestuit door mediation? Wet implementatie richtlijn nr. 2008/52/EG betreffende bepaalde aspecten van bemiddeling/mediation in burgerlijke en handelszaken; ambtshalve toepassing (art. 25 Rv).</t>
        </is>
      </c>
      <c r="H182" s="10" t="inlineStr">
        <is>
          <t>HR 15 mei 2020, ECLI:NL:HR:2020:889, NJ 2021/115 m.nt. J.L. Smeehuijzen. Praktische impact op conflictoplossing zonder rechtsgang.</t>
        </is>
      </c>
      <c r="I182" s="10" t="inlineStr">
        <is>
          <t>HR 15 mei 2020, ECLI:NL:HR:2020:889, NJ 2021/115</t>
        </is>
      </c>
      <c r="J182" s="10" t="inlineStr"/>
      <c r="K182" s="10" t="inlineStr"/>
    </row>
    <row r="183" ht="96" customHeight="1">
      <c r="A183" s="10" t="inlineStr">
        <is>
          <t>card_182</t>
        </is>
      </c>
      <c r="B183" s="10" t="inlineStr">
        <is>
          <t>19</t>
        </is>
      </c>
      <c r="C183" s="10" t="inlineStr">
        <is>
          <t>HR 11 september 2020 (belastingadvies)</t>
        </is>
      </c>
      <c r="D183" s="10" t="inlineStr">
        <is>
          <t>arrest</t>
        </is>
      </c>
      <c r="E183" s="10" t="inlineStr">
        <is>
          <t>Wanneer heeft de benadeelde 'voldoende zekerheid' verkregen dat zijn schade is veroorzaakt door tekortschietend belastingadvies (art. 3:310 lid 1 BW)?</t>
        </is>
      </c>
      <c r="F183" s="10" t="inlineStr">
        <is>
          <t>Voor aanvang van de korte verjaringstermijn is daadwerkelijke bekendheid vereist in de zin van voldoende (niet absolute) zekerheid dat de schade is veroorzaakt door tekortschietend of foutief handelen. Het ontbreken van de kennis en het inzicht die nodig zijn om de deugdelijkheid van een geleverde (fiscaal-)juridische prestatie te beoordelen, betekent dat de benadeelde die voldoende zekerheid pas heeft na het verkrijgen van een deskundig (bijv. second opinion) oordeel.</t>
        </is>
      </c>
      <c r="G183" s="10" t="inlineStr">
        <is>
          <t>Vermogensrecht. Verjaring van rechtsvordering tot vergoeding van schade wegens ondeugdelijk belastingadvies. Aanvang korte verjaringstermijn (art. 3:310 lid 1 BW). Moment waarop benadeelde voldoende zekerheid heeft verkregen dat schade is veroorzaakt door tekortschietend of foutief handelen van de betrokken persoon. Ontbreken van de kennis en het inzicht die nodig zijn om de deugdelijkheid van een geleverde prestatie te beoordelen; juridische beoordeling?</t>
        </is>
      </c>
      <c r="H183" s="10" t="inlineStr">
        <is>
          <t>HR 11 september 2020, ECLI:NL:HR:2020:1413, NJ 2021/295 m.nt. J. Smeehuijzen. Bevestigt Saelman-lijn voor juridische/fiscale dienstverleners.</t>
        </is>
      </c>
      <c r="I183" s="10" t="inlineStr">
        <is>
          <t>HR 11 september 2020, ECLI:NL:HR:2020:1413, NJ 2021/295</t>
        </is>
      </c>
      <c r="J183" s="10" t="inlineStr"/>
      <c r="K183" s="10" t="inlineStr"/>
    </row>
    <row r="184" ht="96" customHeight="1">
      <c r="A184" s="10" t="inlineStr">
        <is>
          <t>card_183</t>
        </is>
      </c>
      <c r="B184" s="10" t="inlineStr">
        <is>
          <t>19</t>
        </is>
      </c>
      <c r="C184" s="10" t="inlineStr">
        <is>
          <t>HR 19 februari 2021 (regres verzekeraars)</t>
        </is>
      </c>
      <c r="D184" s="10" t="inlineStr">
        <is>
          <t>arrest</t>
        </is>
      </c>
      <c r="E184" s="10" t="inlineStr">
        <is>
          <t>Wanneer gaat de verjaringstermijn van een regresvordering tussen verzekeraars (art. 7:961 BW) lopen?</t>
        </is>
      </c>
      <c r="F184" s="10" t="inlineStr">
        <is>
          <t>De verjaringstermijn van de regresvordering vangt aan zodra aan de vereisten voor opeisbaarheid is voldaan (art. 3:310 lid 1 BW): voldoende zekerheid dat de verzekeraar méér heeft uitbetaald dan zijn draagplichtig aandeel. Conform HR 6 april 2012 (ASR/Achmea) is bepalend wanneer de regresnemende verzekeraar redelijkerwijs kon vaststellen dat hij een regresrecht had én jegens wie. De wettelijke rente gaat lopen vanaf het intreden van verzuim (art. 6:83 onder c BW).</t>
        </is>
      </c>
      <c r="G184" s="10" t="inlineStr">
        <is>
          <t>Aansprakelijkheidsrecht. Verzekeringsrecht. Regresvordering tussen verzekeraars ex art. 7:961 BW. Aanvang verjaringstermijn van regresvordering; art. 3:310 lid 1 BW; HR 6 april 2012, ECLI:NL:HR:2012:BU3784 (ASR/Achmea). Ingangsdatum wettelijke rente; datum waarop verzuim is ingetreden (art. 6:83 onder c BW).</t>
        </is>
      </c>
      <c r="H184" s="10" t="inlineStr">
        <is>
          <t>HR 19 februari 2021, ECLI:NL:HR:2021:274, NJ 2021/115 m.nt. J.L. Smeehuijzen. JOR 2021/140 m.nt. J. van Mourik.</t>
        </is>
      </c>
      <c r="I184" s="10" t="inlineStr">
        <is>
          <t>HR 19 februari 2021, ECLI:NL:HR:2021:274, JOR 2021/140</t>
        </is>
      </c>
      <c r="J184" s="10" t="inlineStr"/>
      <c r="K184" s="10" t="inlineStr"/>
    </row>
    <row r="185" ht="96" customHeight="1">
      <c r="A185" s="10" t="inlineStr">
        <is>
          <t>card_184</t>
        </is>
      </c>
      <c r="B185" s="10" t="inlineStr">
        <is>
          <t>19</t>
        </is>
      </c>
      <c r="C185" s="10" t="inlineStr">
        <is>
          <t>Hartlief e.a., Verbintenissen uit de wet h. 10</t>
        </is>
      </c>
      <c r="D185" s="10" t="inlineStr">
        <is>
          <t>rechtsleer</t>
        </is>
      </c>
      <c r="E185" s="10" t="inlineStr">
        <is>
          <t>Wat zijn de ratio van verjaring en de belangrijkste beperkingen op een beroep daarop volgens Hartlief (Studiereeks nr. 5, hfst. 10)?</t>
        </is>
      </c>
      <c r="F185" s="10" t="inlineStr">
        <is>
          <t>Ratio: rechtszekerheid, bewijsnood voorkomen en rust voor de schuldenaar. Beperkingen: (1) de redelijkheid en billijkheid (art. 6:2 BW) kan een beroep op verjaring blokkeren (Van Hese/De Schelde-arrest HR 28 april 2000 voor lange termijn); (2) stuiting en verlenging (art. 3:316-3:321 BW); (3) restricties bij klaarblijkelijke erkenning door voorschotbetaling (art. 3:318 BW); (4) bijzondere uitzonderingsregimes (art. 6:89 klachtplicht, 611g Rv dwangsom). Bij onrechtmatige daad is daadwerkelijke bekendheid decisief (Saelman, rentederivaat).</t>
        </is>
      </c>
      <c r="G185" s="10" t="inlineStr">
        <is>
          <t>De verjaring dient primair de rechtszekerheid, maar mag niet leiden tot onaanvaardbare uitkomsten; de redelijkheid en billijkheid kan een beroep op verjaring in uitzonderlijke gevallen blokkeren.</t>
        </is>
      </c>
      <c r="H185" s="10" t="inlineStr">
        <is>
          <t>Hartlief e.a., Verbintenissen uit de wet en schadevergoeding, Studiereeks Burgerlijk recht nr. 5, hoofdstuk 10, Deventer: Wolters Kluwer 2024. Verplichte (maar niet opgenomen) literatuur.</t>
        </is>
      </c>
      <c r="I185" s="10" t="inlineStr">
        <is>
          <t>T. Hartlief e.a., Verbintenissen uit de wet en schadevergoeding (Studiereeks Burgerlijk recht nr. 5), hoofdstuk 10, 10e druk, Deventer: Wolters Kluwer 2024, ISBN 9789013176513</t>
        </is>
      </c>
      <c r="J185" s="10" t="inlineStr"/>
      <c r="K185" s="10" t="inlineStr"/>
    </row>
    <row r="186" ht="96" customHeight="1">
      <c r="A186" s="10" t="inlineStr">
        <is>
          <t>card_185</t>
        </is>
      </c>
      <c r="B186" s="10" t="inlineStr">
        <is>
          <t>19</t>
        </is>
      </c>
      <c r="C186" s="10" t="inlineStr">
        <is>
          <t>Casus Boris/Margaret - vraag 1</t>
        </is>
      </c>
      <c r="D186" s="10" t="inlineStr">
        <is>
          <t>casus</t>
        </is>
      </c>
      <c r="E186" s="10" t="inlineStr">
        <is>
          <t>Boris betwist inning van € 25.000 aan dwangsommen wegens verjaring op grond van art. 611g Rv. Het vonnis dateert van 2017 (betekend 4 juli 2017). Op 23 oktober 2024 wordt opnieuw betekend en tot € 1.000 ingesteld; op 16 december 2024 wordt voor € 25.000 derdenbeslag gelegd. Zijn de dwangsommen verjaard?</t>
        </is>
      </c>
      <c r="F186" s="10" t="inlineStr">
        <is>
          <t>Grotendeels wel. Art. 611g lid 1 Rv: dwangsommen verjaren zes maanden na verbeuren. Dus alle dwangsommen verbeurd vóór 17 april 2024 (zes maanden vóór 17 oktober 2024 = eerste proces-verbaal) zijn in beginsel verjaard, tenzij (en voor zover) de termijn is gestuit. De zesmaandentermijn kan worden gestuit op grond van art. 3:316-3:318 BW jo. art. 611g lid 2 Rv. De stelling van Margaret dat zij 'zelf bepaalt wanneer zij opeist' is onjuist - de dwangsom is opeisbaar zodra verbeurd en verjaart daarna per afzonderlijk feit. Alleen dwangsommen verbeurd vanaf medio april 2024 zijn (zonder verdere stuiting) nog niet verjaard. Zie HR 20 december 2024 (card_175) voor het stuitend effect van een executiegeschil.</t>
        </is>
      </c>
      <c r="G186" s="10" t="inlineStr">
        <is>
          <t>Art. 611g lid 1 Rv: Een dwangsom verjaart door verloop van zes maanden na de dag waarop zij verbeurd is. Volgens HR 20 december 2024 kan een executiegeschil van de dwangsomschuldenaar de termijn stuiten.</t>
        </is>
      </c>
      <c r="H186" s="10" t="inlineStr">
        <is>
          <t>Huiswerkcasus 1 Dempsey 2026. Kernarresten: HR 20 december 2024 (card_175); art. 611g Rv (card_175); art. 3:316-3:318 BW.</t>
        </is>
      </c>
      <c r="I186" s="10" t="inlineStr">
        <is>
          <t>Huiswerkopdracht Dempsey 2026, casus 1 vraag 1</t>
        </is>
      </c>
      <c r="J186" s="10" t="inlineStr"/>
      <c r="K186" s="10" t="inlineStr"/>
    </row>
    <row r="187" ht="96" customHeight="1">
      <c r="A187" s="10" t="inlineStr">
        <is>
          <t>card_186</t>
        </is>
      </c>
      <c r="B187" s="10" t="inlineStr">
        <is>
          <t>19</t>
        </is>
      </c>
      <c r="C187" s="10" t="inlineStr">
        <is>
          <t>Casus Mark &amp; Anne/DonKey - vraag 2</t>
        </is>
      </c>
      <c r="D187" s="10" t="inlineStr">
        <is>
          <t>casus</t>
        </is>
      </c>
      <c r="E187" s="10" t="inlineStr">
        <is>
          <t>DonKey levert in april 2016 een woning met gebreken. Na sommatie 3 februari 2022, herstel door derden in 2023 (€ 25.000) en de buren-procedure (eindigt 20 oktober 2024 met schikking) starten Mark en Anne op 26 januari 2025 een procedure. DonKey beroept zich op verjaring. Hoe beoordeelt u het verweer?</t>
        </is>
      </c>
      <c r="F187" s="10" t="inlineStr">
        <is>
          <t>Uitgangspunten: verjaring via art. 3:310 lid 1 BW (schadevergoeding wegens non-conformiteit/onrechtmatige daad) of art. 7:23 lid 2 BW (2 jaar voor consumentenkoop van onroerende zaak, na tijdige klacht). (1) Aanvang korte termijn: bij daadwerkelijke bekendheid met schade én aansprakelijke persoon. Bekendheid heeft DonKey vanaf contact in de periode 2016-2018. (2) De sommatie van 3 februari 2022 is een schriftelijke stuitingshandeling (art. 3:317 BW) en start een nieuwe termijn van 5 jaar (art. 3:319 BW). (3) De buren-procedure stuit niet de verjaring van Mark en Anne (art. 3:316 BW vereist eis van de gerechtigde zelf). (4) Dus: vordering ingesteld 26 januari 2025 valt binnen 5 jaar na de stuiting van 3 februari 2022 - niet verjaard. Bijkomende vragen: is de sommatie voldoende specifiek geformuleerd? Heeft DonKey door het verrichten van herstelwerkzaamheden stilzwijgend aansprakelijkheid erkend (art. 3:318 BW)?</t>
        </is>
      </c>
      <c r="G187" s="10" t="inlineStr">
        <is>
          <t>Een rechtsvordering tot vergoeding van schade verjaart door verloop van vijf jaren na de aanvang van de dag volgende op die waarop de benadeelde zowel met de schade als met de daarvoor aansprakelijke persoon bekend is geworden.</t>
        </is>
      </c>
      <c r="H187" s="10" t="inlineStr">
        <is>
          <t>Huiswerkcasus 2 Dempsey 2026. Kernarresten: art. 3:310 BW (card_168), art. 3:316 BW (card_169), art. 3:317 BW (card_170), art. 3:318 BW (card_171). Let ook op art. 7:23 lid 2 BW en evt. klachtplicht art. 6:89 BW.</t>
        </is>
      </c>
      <c r="I187" s="10" t="inlineStr">
        <is>
          <t>Huiswerkopdracht Dempsey 2026, casus 2 vraag 2</t>
        </is>
      </c>
      <c r="J187" s="10" t="inlineStr"/>
      <c r="K187" s="10" t="inlineStr"/>
    </row>
    <row r="188" ht="96" customHeight="1">
      <c r="A188" s="10" t="inlineStr">
        <is>
          <t>card_187</t>
        </is>
      </c>
      <c r="B188" s="10" t="inlineStr">
        <is>
          <t>19</t>
        </is>
      </c>
      <c r="C188" s="10" t="inlineStr">
        <is>
          <t>Casus Sadiku/Groen - vraag 3</t>
        </is>
      </c>
      <c r="D188" s="10" t="inlineStr">
        <is>
          <t>casus</t>
        </is>
      </c>
      <c r="E188" s="10" t="inlineStr">
        <is>
          <t>Sadiku koopt 4 juni 2019 een houten bedrijfspand met 4-jaarsgarantie tegen ongedierte en een contractuele klachttermijn van 2 maanden. Sadiku constateert termieten op 16 augustus 2019, klaagt op 20 november 2019, procedeert op 5 december 2022. Kan Groen zich op verval en/of verjaring beroepen?</t>
        </is>
      </c>
      <c r="F188" s="10" t="inlineStr">
        <is>
          <t>(1) Vervaltermijn van 2 maanden (contractueel): overschreden. Constatering 16 augustus 2019 → uiterste klachtdatum 16 oktober 2019. Klacht op 20 november 2019 is te laat; het recht is op grond van de contractuele klachttermijn vervallen. Enige tempering is mogelijk via art. 6:2 BW (redelijkheid en billijkheid) als het beroep op verval naar maatstaven van r&amp;b onaanvaardbaar is, bijvoorbeeld bij nadeel aan de zijde van Groen (vgl. HR 8 februari 2013, Van de Steeg/Rabobank). Aparte vraag: kwalificeert de 2-maanden-termijn als verval- of als klachttermijn (art. 6:89 BW)? Het beoogde effect (verval van recht) wijst op verval. (2) Verjaring: art. 3:307 (boete/nakoming) en art. 3:310 lid 1 BW (schadevordering) = 5 jaar. Constatering 16 augustus 2019 → verjaart 16 augustus 2024. Procedure 5 december 2022 valt binnen die termijn. Dus verjaring niet; verval wel.</t>
        </is>
      </c>
      <c r="G188" s="10" t="inlineStr">
        <is>
          <t>Een schuldeiser kan op een gebrek in de prestatie geen beroep meer doen, indien hij niet binnen bekwame tijd nadat hij het gebrek heeft ontdekt of redelijkerwijs had moeten ontdekken, bij de schuldenaar heeft geprotesteerd.</t>
        </is>
      </c>
      <c r="H188" s="10" t="inlineStr">
        <is>
          <t>Huiswerkcasus 3 Dempsey 2026. Focus: onderscheid verval vs. verjaring (card_178); art. 6:89 BW (card_177); art. 3:310 BW (card_168).</t>
        </is>
      </c>
      <c r="I188" s="10" t="inlineStr">
        <is>
          <t>Huiswerkopdracht Dempsey 2026, casus 3 vraag 3</t>
        </is>
      </c>
      <c r="J188" s="10" t="inlineStr"/>
      <c r="K188" s="10" t="inlineStr"/>
    </row>
  </sheetData>
  <dataValidations count="1">
    <dataValidation sqref="J2:J188" showDropDown="0" showInputMessage="0" showErrorMessage="0" allowBlank="1" errorTitle="Ongeldige keuze" error="Kies uit de lijst" promptTitle="Oordeel kaart" prompt="Kies: behouden, aanpassen of verwijderen" type="list">
      <formula1>"behouden,aanpassen,verwijderen"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8" customWidth="1" min="1" max="1"/>
    <col width="16" customWidth="1" min="2" max="2"/>
  </cols>
  <sheetData>
    <row r="1">
      <c r="A1" s="11" t="inlineStr">
        <is>
          <t>Overzicht review</t>
        </is>
      </c>
    </row>
    <row r="3">
      <c r="A3" s="12" t="inlineStr">
        <is>
          <t>Totaal aantal kaarten</t>
        </is>
      </c>
      <c r="B3" s="13">
        <f>COUNTA('Kaarten review'!A2:A188)</f>
        <v/>
      </c>
    </row>
    <row r="4">
      <c r="A4" s="13" t="inlineStr">
        <is>
          <t>Kaarten module 01</t>
        </is>
      </c>
      <c r="B4" s="13">
        <f>COUNTIFS('Kaarten review'!B2:B188,"01")</f>
        <v/>
      </c>
    </row>
    <row r="5">
      <c r="A5" s="13" t="inlineStr">
        <is>
          <t>Kaarten module 02</t>
        </is>
      </c>
      <c r="B5" s="13">
        <f>COUNTIFS('Kaarten review'!B2:B188,"02")</f>
        <v/>
      </c>
    </row>
    <row r="6">
      <c r="A6" s="13" t="inlineStr">
        <is>
          <t>Kaarten module 04</t>
        </is>
      </c>
      <c r="B6" s="13">
        <f>COUNTIFS('Kaarten review'!B2:B188,"04")</f>
        <v/>
      </c>
    </row>
    <row r="7">
      <c r="A7" s="13" t="inlineStr">
        <is>
          <t>Kaarten module 05</t>
        </is>
      </c>
      <c r="B7" s="13">
        <f>COUNTIFS('Kaarten review'!B2:B188,"05")</f>
        <v/>
      </c>
    </row>
    <row r="8">
      <c r="A8" s="13" t="inlineStr">
        <is>
          <t>Kaarten module 06</t>
        </is>
      </c>
      <c r="B8" s="13">
        <f>COUNTIFS('Kaarten review'!B2:B188,"06")</f>
        <v/>
      </c>
    </row>
    <row r="9">
      <c r="A9" s="13" t="inlineStr">
        <is>
          <t>Kaarten module 07</t>
        </is>
      </c>
      <c r="B9" s="13">
        <f>COUNTIFS('Kaarten review'!B2:B188,"07")</f>
        <v/>
      </c>
    </row>
    <row r="10">
      <c r="A10" s="13" t="inlineStr">
        <is>
          <t>Kaarten module 08</t>
        </is>
      </c>
      <c r="B10" s="13">
        <f>COUNTIFS('Kaarten review'!B2:B188,"08")</f>
        <v/>
      </c>
    </row>
    <row r="11">
      <c r="A11" s="13" t="inlineStr">
        <is>
          <t>Kaarten module 11</t>
        </is>
      </c>
      <c r="B11" s="13">
        <f>COUNTIFS('Kaarten review'!B2:B188,"11")</f>
        <v/>
      </c>
    </row>
    <row r="12">
      <c r="A12" s="13" t="inlineStr">
        <is>
          <t>Kaarten module 19</t>
        </is>
      </c>
      <c r="B12" s="13">
        <f>COUNTIFS('Kaarten review'!B2:B188,"19")</f>
        <v/>
      </c>
    </row>
    <row r="13">
      <c r="A13" s="13" t="inlineStr"/>
      <c r="B13" s="13" t="inlineStr"/>
    </row>
    <row r="14">
      <c r="A14" s="12" t="inlineStr">
        <is>
          <t>Oordeel: behouden</t>
        </is>
      </c>
      <c r="B14" s="13">
        <f>COUNTIF('Kaarten review'!J2:J188,"behouden")</f>
        <v/>
      </c>
    </row>
    <row r="15">
      <c r="A15" s="12" t="inlineStr">
        <is>
          <t>Oordeel: aanpassen</t>
        </is>
      </c>
      <c r="B15" s="13">
        <f>COUNTIF('Kaarten review'!J2:J188,"aanpassen")</f>
        <v/>
      </c>
    </row>
    <row r="16">
      <c r="A16" s="12" t="inlineStr">
        <is>
          <t>Oordeel: verwijderen</t>
        </is>
      </c>
      <c r="B16" s="13">
        <f>COUNTIF('Kaarten review'!J2:J188,"verwijderen")</f>
        <v/>
      </c>
    </row>
    <row r="17">
      <c r="A17" s="12" t="inlineStr">
        <is>
          <t>Oordeel nog leeg</t>
        </is>
      </c>
      <c r="B17" s="13">
        <f>COUNTBLANK('Kaarten review'!J2:J188)</f>
        <v/>
      </c>
    </row>
    <row r="18">
      <c r="A18" s="13" t="inlineStr"/>
      <c r="B18" s="13" t="inlineStr"/>
    </row>
    <row r="19">
      <c r="A19" s="13" t="inlineStr">
        <is>
          <t>Module 01 - behouden</t>
        </is>
      </c>
      <c r="B19" s="13">
        <f>COUNTIFS('Kaarten review'!B2:B188,"01",'Kaarten review'!J2:J188,"behouden")</f>
        <v/>
      </c>
    </row>
    <row r="20">
      <c r="A20" s="13" t="inlineStr">
        <is>
          <t>Module 01 - aanpassen</t>
        </is>
      </c>
      <c r="B20" s="13">
        <f>COUNTIFS('Kaarten review'!B2:B188,"01",'Kaarten review'!J2:J188,"aanpassen")</f>
        <v/>
      </c>
    </row>
    <row r="21">
      <c r="A21" s="13" t="inlineStr">
        <is>
          <t>Module 01 - verwijderen</t>
        </is>
      </c>
      <c r="B21" s="13">
        <f>COUNTIFS('Kaarten review'!B2:B188,"01",'Kaarten review'!J2:J188,"verwijderen")</f>
        <v/>
      </c>
    </row>
    <row r="22">
      <c r="A22" s="13" t="inlineStr"/>
      <c r="B22" s="13" t="inlineStr"/>
    </row>
    <row r="23">
      <c r="A23" s="13" t="inlineStr">
        <is>
          <t>Module 02 - behouden</t>
        </is>
      </c>
      <c r="B23" s="13">
        <f>COUNTIFS('Kaarten review'!B2:B188,"02",'Kaarten review'!J2:J188,"behouden")</f>
        <v/>
      </c>
    </row>
    <row r="24">
      <c r="A24" s="13" t="inlineStr">
        <is>
          <t>Module 02 - aanpassen</t>
        </is>
      </c>
      <c r="B24" s="13">
        <f>COUNTIFS('Kaarten review'!B2:B188,"02",'Kaarten review'!J2:J188,"aanpassen")</f>
        <v/>
      </c>
    </row>
    <row r="25">
      <c r="A25" s="13" t="inlineStr">
        <is>
          <t>Module 02 - verwijderen</t>
        </is>
      </c>
      <c r="B25" s="13">
        <f>COUNTIFS('Kaarten review'!B2:B188,"02",'Kaarten review'!J2:J188,"verwijderen")</f>
        <v/>
      </c>
    </row>
    <row r="26">
      <c r="A26" s="13" t="inlineStr"/>
      <c r="B26" s="13" t="inlineStr"/>
    </row>
    <row r="27">
      <c r="A27" s="13" t="inlineStr">
        <is>
          <t>Module 04 - behouden</t>
        </is>
      </c>
      <c r="B27" s="13">
        <f>COUNTIFS('Kaarten review'!B2:B188,"04",'Kaarten review'!J2:J188,"behouden")</f>
        <v/>
      </c>
    </row>
    <row r="28">
      <c r="A28" s="13" t="inlineStr">
        <is>
          <t>Module 04 - aanpassen</t>
        </is>
      </c>
      <c r="B28" s="13">
        <f>COUNTIFS('Kaarten review'!B2:B188,"04",'Kaarten review'!J2:J188,"aanpassen")</f>
        <v/>
      </c>
    </row>
    <row r="29">
      <c r="A29" s="13" t="inlineStr">
        <is>
          <t>Module 04 - verwijderen</t>
        </is>
      </c>
      <c r="B29" s="13">
        <f>COUNTIFS('Kaarten review'!B2:B188,"04",'Kaarten review'!J2:J188,"verwijderen")</f>
        <v/>
      </c>
    </row>
    <row r="30">
      <c r="A30" s="13" t="inlineStr"/>
      <c r="B30" s="13" t="inlineStr"/>
    </row>
    <row r="31">
      <c r="A31" s="13" t="inlineStr">
        <is>
          <t>Module 05 - behouden</t>
        </is>
      </c>
      <c r="B31" s="13">
        <f>COUNTIFS('Kaarten review'!B2:B188,"05",'Kaarten review'!J2:J188,"behouden")</f>
        <v/>
      </c>
    </row>
    <row r="32">
      <c r="A32" s="13" t="inlineStr">
        <is>
          <t>Module 05 - aanpassen</t>
        </is>
      </c>
      <c r="B32" s="13">
        <f>COUNTIFS('Kaarten review'!B2:B188,"05",'Kaarten review'!J2:J188,"aanpassen")</f>
        <v/>
      </c>
    </row>
    <row r="33">
      <c r="A33" s="13" t="inlineStr">
        <is>
          <t>Module 05 - verwijderen</t>
        </is>
      </c>
      <c r="B33" s="13">
        <f>COUNTIFS('Kaarten review'!B2:B188,"05",'Kaarten review'!J2:J188,"verwijderen")</f>
        <v/>
      </c>
    </row>
    <row r="34">
      <c r="A34" s="13" t="inlineStr"/>
      <c r="B34" s="13" t="inlineStr"/>
    </row>
    <row r="35">
      <c r="A35" s="13" t="inlineStr">
        <is>
          <t>Module 06 - behouden</t>
        </is>
      </c>
      <c r="B35" s="13">
        <f>COUNTIFS('Kaarten review'!B2:B188,"06",'Kaarten review'!J2:J188,"behouden")</f>
        <v/>
      </c>
    </row>
    <row r="36">
      <c r="A36" s="13" t="inlineStr">
        <is>
          <t>Module 06 - aanpassen</t>
        </is>
      </c>
      <c r="B36" s="13">
        <f>COUNTIFS('Kaarten review'!B2:B188,"06",'Kaarten review'!J2:J188,"aanpassen")</f>
        <v/>
      </c>
    </row>
    <row r="37">
      <c r="A37" s="13" t="inlineStr">
        <is>
          <t>Module 06 - verwijderen</t>
        </is>
      </c>
      <c r="B37" s="13">
        <f>COUNTIFS('Kaarten review'!B2:B188,"06",'Kaarten review'!J2:J188,"verwijderen")</f>
        <v/>
      </c>
    </row>
    <row r="38">
      <c r="A38" s="13" t="inlineStr"/>
      <c r="B38" s="13" t="inlineStr"/>
    </row>
    <row r="39">
      <c r="A39" s="13" t="inlineStr">
        <is>
          <t>Module 07 - behouden</t>
        </is>
      </c>
      <c r="B39" s="13">
        <f>COUNTIFS('Kaarten review'!B2:B188,"07",'Kaarten review'!J2:J188,"behouden")</f>
        <v/>
      </c>
    </row>
    <row r="40">
      <c r="A40" s="13" t="inlineStr">
        <is>
          <t>Module 07 - aanpassen</t>
        </is>
      </c>
      <c r="B40" s="13">
        <f>COUNTIFS('Kaarten review'!B2:B188,"07",'Kaarten review'!J2:J188,"aanpassen")</f>
        <v/>
      </c>
    </row>
    <row r="41">
      <c r="A41" s="13" t="inlineStr">
        <is>
          <t>Module 07 - verwijderen</t>
        </is>
      </c>
      <c r="B41" s="13">
        <f>COUNTIFS('Kaarten review'!B2:B188,"07",'Kaarten review'!J2:J188,"verwijderen")</f>
        <v/>
      </c>
    </row>
    <row r="42">
      <c r="A42" s="13" t="inlineStr"/>
      <c r="B42" s="13" t="inlineStr"/>
    </row>
    <row r="43">
      <c r="A43" s="13" t="inlineStr">
        <is>
          <t>Module 08 - behouden</t>
        </is>
      </c>
      <c r="B43" s="13">
        <f>COUNTIFS('Kaarten review'!B2:B188,"08",'Kaarten review'!J2:J188,"behouden")</f>
        <v/>
      </c>
    </row>
    <row r="44">
      <c r="A44" s="13" t="inlineStr">
        <is>
          <t>Module 08 - aanpassen</t>
        </is>
      </c>
      <c r="B44" s="13">
        <f>COUNTIFS('Kaarten review'!B2:B188,"08",'Kaarten review'!J2:J188,"aanpassen")</f>
        <v/>
      </c>
    </row>
    <row r="45">
      <c r="A45" s="13" t="inlineStr">
        <is>
          <t>Module 08 - verwijderen</t>
        </is>
      </c>
      <c r="B45" s="13">
        <f>COUNTIFS('Kaarten review'!B2:B188,"08",'Kaarten review'!J2:J188,"verwijderen")</f>
        <v/>
      </c>
    </row>
    <row r="46">
      <c r="A46" s="13" t="inlineStr"/>
      <c r="B46" s="13" t="inlineStr"/>
    </row>
    <row r="47">
      <c r="A47" s="13" t="inlineStr">
        <is>
          <t>Module 11 - behouden</t>
        </is>
      </c>
      <c r="B47" s="13">
        <f>COUNTIFS('Kaarten review'!B2:B188,"11",'Kaarten review'!J2:J188,"behouden")</f>
        <v/>
      </c>
    </row>
    <row r="48">
      <c r="A48" s="13" t="inlineStr">
        <is>
          <t>Module 11 - aanpassen</t>
        </is>
      </c>
      <c r="B48" s="13">
        <f>COUNTIFS('Kaarten review'!B2:B188,"11",'Kaarten review'!J2:J188,"aanpassen")</f>
        <v/>
      </c>
    </row>
    <row r="49">
      <c r="A49" s="13" t="inlineStr">
        <is>
          <t>Module 11 - verwijderen</t>
        </is>
      </c>
      <c r="B49" s="13">
        <f>COUNTIFS('Kaarten review'!B2:B188,"11",'Kaarten review'!J2:J188,"verwijderen")</f>
        <v/>
      </c>
    </row>
    <row r="50">
      <c r="A50" s="13" t="inlineStr"/>
      <c r="B50" s="13" t="inlineStr"/>
    </row>
    <row r="51">
      <c r="A51" s="13" t="inlineStr">
        <is>
          <t>Module 19 - behouden</t>
        </is>
      </c>
      <c r="B51" s="13">
        <f>COUNTIFS('Kaarten review'!B2:B188,"19",'Kaarten review'!J2:J188,"behouden")</f>
        <v/>
      </c>
    </row>
    <row r="52">
      <c r="A52" s="13" t="inlineStr">
        <is>
          <t>Module 19 - aanpassen</t>
        </is>
      </c>
      <c r="B52" s="13">
        <f>COUNTIFS('Kaarten review'!B2:B188,"19",'Kaarten review'!J2:J188,"aanpassen")</f>
        <v/>
      </c>
    </row>
    <row r="53">
      <c r="A53" s="13" t="inlineStr">
        <is>
          <t>Module 19 - verwijderen</t>
        </is>
      </c>
      <c r="B53" s="13">
        <f>COUNTIFS('Kaarten review'!B2:B188,"19",'Kaarten review'!J2:J188,"verwijderen")</f>
        <v/>
      </c>
    </row>
    <row r="54">
      <c r="A54" s="13" t="inlineStr"/>
      <c r="B54" s="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2026-04-19T13:24:25Z</dcterms:created>
  <dcterms:modified xmlns:dcterms="http://purl.org/dc/terms/" xmlns:xsi="http://www.w3.org/2001/XMLSchema-instance" xsi:type="dcterms:W3CDTF">2026-04-19T13:24:25Z</dcterms:modified>
</cp:coreProperties>
</file>